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pf\Downloads\"/>
    </mc:Choice>
  </mc:AlternateContent>
  <bookViews>
    <workbookView xWindow="0" yWindow="0" windowWidth="17256" windowHeight="5844" tabRatio="500" activeTab="2"/>
  </bookViews>
  <sheets>
    <sheet name="WBS" sheetId="1" r:id="rId1"/>
    <sheet name="Cost Estimation" sheetId="2" r:id="rId2"/>
    <sheet name="Gantt Chart" sheetId="3" r:id="rId3"/>
    <sheet name="Effort 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4" l="1"/>
  <c r="D10" i="4"/>
  <c r="C10" i="4"/>
  <c r="B10" i="4"/>
  <c r="E33" i="2"/>
  <c r="E32" i="2"/>
  <c r="E31" i="2"/>
  <c r="E30" i="2"/>
  <c r="E34" i="2" s="1"/>
  <c r="B38" i="2" s="1"/>
  <c r="E29" i="2"/>
  <c r="E28" i="2"/>
  <c r="E10" i="2"/>
  <c r="E9" i="2"/>
  <c r="E8" i="2"/>
  <c r="D11" i="2" s="1"/>
  <c r="B13" i="2" s="1"/>
  <c r="B17" i="2" s="1"/>
  <c r="B20" i="2" s="1"/>
  <c r="E7" i="2"/>
  <c r="E6" i="2"/>
  <c r="B44" i="2" l="1"/>
  <c r="B45" i="2"/>
  <c r="B24" i="2"/>
  <c r="B21" i="2"/>
  <c r="B22" i="2" s="1"/>
</calcChain>
</file>

<file path=xl/sharedStrings.xml><?xml version="1.0" encoding="utf-8"?>
<sst xmlns="http://schemas.openxmlformats.org/spreadsheetml/2006/main" count="514" uniqueCount="346">
  <si>
    <t xml:space="preserve">  AI-Powered Smart Healthcare Assistant System  ·  Work Breakdown Structure</t>
  </si>
  <si>
    <t>WBS ID</t>
  </si>
  <si>
    <t>Lvl</t>
  </si>
  <si>
    <t>Work Package / Task</t>
  </si>
  <si>
    <t>Phase</t>
  </si>
  <si>
    <t>Days</t>
  </si>
  <si>
    <t>Start
Wk</t>
  </si>
  <si>
    <t>End
Wk</t>
  </si>
  <si>
    <t>Deliverable</t>
  </si>
  <si>
    <t>1</t>
  </si>
  <si>
    <t>PROJECT INITIATION</t>
  </si>
  <si>
    <t>Initiation</t>
  </si>
  <si>
    <t>Project Charter</t>
  </si>
  <si>
    <t>1.1</t>
  </si>
  <si>
    <t>Requirement Gathering &amp; Stakeholder Analysis</t>
  </si>
  <si>
    <t>Stakeholder Register</t>
  </si>
  <si>
    <t>1.2</t>
  </si>
  <si>
    <t>Feasibility Study</t>
  </si>
  <si>
    <t>Feasibility Report</t>
  </si>
  <si>
    <t>1.3</t>
  </si>
  <si>
    <t>Project Charter &amp; Scope Definition</t>
  </si>
  <si>
    <t>2</t>
  </si>
  <si>
    <t>PROJECT PLANNING</t>
  </si>
  <si>
    <t>Planning</t>
  </si>
  <si>
    <t>Project Plan</t>
  </si>
  <si>
    <t>2.1</t>
  </si>
  <si>
    <t>SRS Document (IEEE Format)</t>
  </si>
  <si>
    <t>SRS Document</t>
  </si>
  <si>
    <t>2.2</t>
  </si>
  <si>
    <t>System Architecture Design</t>
  </si>
  <si>
    <t>Architecture Diagram</t>
  </si>
  <si>
    <t>2.3</t>
  </si>
  <si>
    <t>WBS, Cost &amp; Schedule Estimation</t>
  </si>
  <si>
    <t>Project Schedule</t>
  </si>
  <si>
    <t>2.4</t>
  </si>
  <si>
    <t>Risk Management Plan</t>
  </si>
  <si>
    <t>Risk Register</t>
  </si>
  <si>
    <t>3</t>
  </si>
  <si>
    <t>SPRINT 1 – CORE BACKEND &amp; AUTH</t>
  </si>
  <si>
    <t>Development</t>
  </si>
  <si>
    <t>Auth Module</t>
  </si>
  <si>
    <t>3.1</t>
  </si>
  <si>
    <t>User Authentication Module</t>
  </si>
  <si>
    <t>Auth API</t>
  </si>
  <si>
    <t>3.1.1</t>
  </si>
  <si>
    <t xml:space="preserve">   Registration &amp; Login (JWT)</t>
  </si>
  <si>
    <t>Auth Endpoints</t>
  </si>
  <si>
    <t>3.1.2</t>
  </si>
  <si>
    <t xml:space="preserve">   Role-Based Access Control</t>
  </si>
  <si>
    <t>RBAC Middleware</t>
  </si>
  <si>
    <t>3.1.3</t>
  </si>
  <si>
    <t xml:space="preserve">   Email / OTP Verification</t>
  </si>
  <si>
    <t>Verification Service</t>
  </si>
  <si>
    <t>3.2</t>
  </si>
  <si>
    <t>Doctor Verification Module</t>
  </si>
  <si>
    <t>Verification Dashboard</t>
  </si>
  <si>
    <t>3.2.1</t>
  </si>
  <si>
    <t xml:space="preserve">   Document Upload &amp; Storage</t>
  </si>
  <si>
    <t>Upload Service</t>
  </si>
  <si>
    <t>3.2.2</t>
  </si>
  <si>
    <t xml:space="preserve">   Admin Review &amp; Approval Workflow</t>
  </si>
  <si>
    <t>Admin Dashboard</t>
  </si>
  <si>
    <t>3.3</t>
  </si>
  <si>
    <t>Database Schema &amp; Setup (MongoDB)</t>
  </si>
  <si>
    <t>DB Schema</t>
  </si>
  <si>
    <t>3.4</t>
  </si>
  <si>
    <t>Sprint 1 Testing &amp; QA</t>
  </si>
  <si>
    <t>Testing</t>
  </si>
  <si>
    <t>Test Report 1</t>
  </si>
  <si>
    <t>4</t>
  </si>
  <si>
    <t>SPRINT 2 – APPOINTMENTS &amp; PRESCRIPTIONS</t>
  </si>
  <si>
    <t>Booking &amp; Rx Module</t>
  </si>
  <si>
    <t>4.1</t>
  </si>
  <si>
    <t>Appointment Booking System</t>
  </si>
  <si>
    <t>Booking Module</t>
  </si>
  <si>
    <t>4.1.1</t>
  </si>
  <si>
    <t xml:space="preserve">   Doctor Search &amp; Filter</t>
  </si>
  <si>
    <t>Search API</t>
  </si>
  <si>
    <t>4.1.2</t>
  </si>
  <si>
    <t xml:space="preserve">   Real-Time Slot Management</t>
  </si>
  <si>
    <t>Slot Service</t>
  </si>
  <si>
    <t>4.1.3</t>
  </si>
  <si>
    <t xml:space="preserve">   Reschedule / Cancel Logic</t>
  </si>
  <si>
    <t>Booking API</t>
  </si>
  <si>
    <t>4.2</t>
  </si>
  <si>
    <t>Prescription Management</t>
  </si>
  <si>
    <t>Prescription Module</t>
  </si>
  <si>
    <t>4.2.1</t>
  </si>
  <si>
    <t xml:space="preserve">   File Upload (AES-256 Encrypted)</t>
  </si>
  <si>
    <t>Upload Endpoint</t>
  </si>
  <si>
    <t>4.2.2</t>
  </si>
  <si>
    <t xml:space="preserve">   OCR Text Extraction</t>
  </si>
  <si>
    <t>OCR Service</t>
  </si>
  <si>
    <t>4.2.3</t>
  </si>
  <si>
    <t xml:space="preserve">   Sharing &amp; Expiry Notifications</t>
  </si>
  <si>
    <t>Notification Trigger</t>
  </si>
  <si>
    <t>4.3</t>
  </si>
  <si>
    <t>Medical History Module</t>
  </si>
  <si>
    <t>History API</t>
  </si>
  <si>
    <t>4.3.1</t>
  </si>
  <si>
    <t xml:space="preserve">   Chronological Records View</t>
  </si>
  <si>
    <t>History Endpoint</t>
  </si>
  <si>
    <t>4.3.2</t>
  </si>
  <si>
    <t xml:space="preserve">   Filter, Export PDF, Audit Log</t>
  </si>
  <si>
    <t>Export Service</t>
  </si>
  <si>
    <t>4.4</t>
  </si>
  <si>
    <t>Frontend – React.js Patient Dashboard</t>
  </si>
  <si>
    <t>Patient UI</t>
  </si>
  <si>
    <t>4.5</t>
  </si>
  <si>
    <t>Sprint 2 Testing &amp; QA</t>
  </si>
  <si>
    <t>Test Report 2</t>
  </si>
  <si>
    <t>5</t>
  </si>
  <si>
    <t>SPRINT 3 – AI CHATBOT, AUTOMATION &amp; ADMIN</t>
  </si>
  <si>
    <t>Complete System</t>
  </si>
  <si>
    <t>5.1</t>
  </si>
  <si>
    <t>AI Chatbot (Gemini API)</t>
  </si>
  <si>
    <t>Chatbot Module</t>
  </si>
  <si>
    <t>5.1.1</t>
  </si>
  <si>
    <t xml:space="preserve">   NLP Query Processing</t>
  </si>
  <si>
    <t>Chatbot API</t>
  </si>
  <si>
    <t>5.1.2</t>
  </si>
  <si>
    <t xml:space="preserve">   Session Context &amp; FAQ Engine</t>
  </si>
  <si>
    <t>Context Manager</t>
  </si>
  <si>
    <t>5.2</t>
  </si>
  <si>
    <t>Follow-Up Automation (Twilio + Vapi + n8n)</t>
  </si>
  <si>
    <t>Automation Module</t>
  </si>
  <si>
    <t>5.2.1</t>
  </si>
  <si>
    <t xml:space="preserve">   Medication Reminder Scheduler (n8n)</t>
  </si>
  <si>
    <t>Workflow Automation</t>
  </si>
  <si>
    <t>5.2.2</t>
  </si>
  <si>
    <t xml:space="preserve">   AI Voice Follow-Up Calls (Vapi)</t>
  </si>
  <si>
    <t>Voice Call Service</t>
  </si>
  <si>
    <t>5.2.3</t>
  </si>
  <si>
    <t xml:space="preserve">   SMS Notifications (Twilio)</t>
  </si>
  <si>
    <t>SMS Service</t>
  </si>
  <si>
    <t>5.3</t>
  </si>
  <si>
    <t>Admin Panel</t>
  </si>
  <si>
    <t>5.4</t>
  </si>
  <si>
    <t>Frontend – Doctor &amp; Admin Dashboards</t>
  </si>
  <si>
    <t>Doctor/Admin UI</t>
  </si>
  <si>
    <t>5.5</t>
  </si>
  <si>
    <t>Sprint 3 Testing &amp; QA</t>
  </si>
  <si>
    <t>Test Report 3</t>
  </si>
  <si>
    <t>6</t>
  </si>
  <si>
    <t>INTEGRATION, SECURITY &amp; PERFORMANCE</t>
  </si>
  <si>
    <t>Tested System</t>
  </si>
  <si>
    <t>6.1</t>
  </si>
  <si>
    <t>Integration Testing (All Modules)</t>
  </si>
  <si>
    <t>Integration Report</t>
  </si>
  <si>
    <t>6.2</t>
  </si>
  <si>
    <t>Security Audit (HIPAA / GDPR)</t>
  </si>
  <si>
    <t>Security Report</t>
  </si>
  <si>
    <t>6.3</t>
  </si>
  <si>
    <t>Performance &amp; Load Testing</t>
  </si>
  <si>
    <t>Perf Report</t>
  </si>
  <si>
    <t>7</t>
  </si>
  <si>
    <t>DEPLOYMENT &amp; PROJECT CLOSURE</t>
  </si>
  <si>
    <t>Deployment</t>
  </si>
  <si>
    <t>Live System</t>
  </si>
  <si>
    <t>7.1</t>
  </si>
  <si>
    <t>Cloud Deployment (AWS / Docker / K8s)</t>
  </si>
  <si>
    <t>Deployed App</t>
  </si>
  <si>
    <t>7.2</t>
  </si>
  <si>
    <t>User Documentation &amp; Training</t>
  </si>
  <si>
    <t>User Manuals</t>
  </si>
  <si>
    <t>7.3</t>
  </si>
  <si>
    <t>Project Review &amp; Handover</t>
  </si>
  <si>
    <t>Closure Report</t>
  </si>
  <si>
    <t>PHASE LEGEND</t>
  </si>
  <si>
    <t xml:space="preserve">  AI-Powered Smart Healthcare Assistant System  ·  Cost Estimation (3-Month Project)</t>
  </si>
  <si>
    <t>Estimation Method</t>
  </si>
  <si>
    <t>COCOMO II + FPA</t>
  </si>
  <si>
    <t>Project Duration</t>
  </si>
  <si>
    <t>3 Months</t>
  </si>
  <si>
    <t>Model Type</t>
  </si>
  <si>
    <t>Semi-Detached</t>
  </si>
  <si>
    <t xml:space="preserve">  A.  Function Point Analysis (FPA)</t>
  </si>
  <si>
    <t>Function Type</t>
  </si>
  <si>
    <t>Count</t>
  </si>
  <si>
    <t>Complexity</t>
  </si>
  <si>
    <t>Weight</t>
  </si>
  <si>
    <t>FP Score</t>
  </si>
  <si>
    <t>Example Functions</t>
  </si>
  <si>
    <t>External Inputs (EI)</t>
  </si>
  <si>
    <t>Average</t>
  </si>
  <si>
    <t>Login, Register, Book Appt, Upload Rx ×4</t>
  </si>
  <si>
    <t>External Outputs (EO)</t>
  </si>
  <si>
    <t>Reports, Confirmations, Notifications ×3, PDF Export ×2</t>
  </si>
  <si>
    <t>External Inquiries (EQ)</t>
  </si>
  <si>
    <t>Doctor Search, History View, Chatbot, Slot Check ×3</t>
  </si>
  <si>
    <t>Internal Logical Files (ILF)</t>
  </si>
  <si>
    <t>Users, Doctors, Appts, Prescriptions, History, Reminders, ChatLogs</t>
  </si>
  <si>
    <t>External Interface Files (EIF)</t>
  </si>
  <si>
    <t>Twilio, Vapi, Gemini API, n8n, MongoDB Atlas</t>
  </si>
  <si>
    <t>Unadjusted Function Points (UFP)</t>
  </si>
  <si>
    <t>Sum of all weighted function points</t>
  </si>
  <si>
    <t>Value Adjustment Factor (VAF)</t>
  </si>
  <si>
    <t>Healthcare domain complexity adjustment</t>
  </si>
  <si>
    <t>Adjusted Function Points  (AFP)</t>
  </si>
  <si>
    <t>AFP = UFP × VAF</t>
  </si>
  <si>
    <t xml:space="preserve">  B.  COCOMO II – Semi-Detached Model</t>
  </si>
  <si>
    <t>Parameter</t>
  </si>
  <si>
    <t>Symbol</t>
  </si>
  <si>
    <t>Formula / Source</t>
  </si>
  <si>
    <t>Value</t>
  </si>
  <si>
    <t>Unit</t>
  </si>
  <si>
    <t>Notes</t>
  </si>
  <si>
    <t>Lines of Code Estimate</t>
  </si>
  <si>
    <t>AFP×53÷1000</t>
  </si>
  <si>
    <t>KLOC</t>
  </si>
  <si>
    <t>53 LOC/FP for Node.js / React stack</t>
  </si>
  <si>
    <t>COCOMO Coefficient</t>
  </si>
  <si>
    <t>3.0 (semi-det.)</t>
  </si>
  <si>
    <t>—</t>
  </si>
  <si>
    <t>Semi-detached project mode</t>
  </si>
  <si>
    <t>COCOMO Exponent</t>
  </si>
  <si>
    <t>1.12 (semi-det.)</t>
  </si>
  <si>
    <t>Raw Effort  E = a × KLOC^b</t>
  </si>
  <si>
    <t>a × KLOC^b</t>
  </si>
  <si>
    <t>PM</t>
  </si>
  <si>
    <t>Person-months (unadjusted)</t>
  </si>
  <si>
    <t>Development Time  D = 2.5×E^0.38</t>
  </si>
  <si>
    <t>2.5 × E^0.38</t>
  </si>
  <si>
    <t>Months</t>
  </si>
  <si>
    <t>Derived project duration</t>
  </si>
  <si>
    <t>Avg Team Size  P = E÷D</t>
  </si>
  <si>
    <t>E ÷ D</t>
  </si>
  <si>
    <t>People</t>
  </si>
  <si>
    <t>Ideal staffing level</t>
  </si>
  <si>
    <t>Effort Adj. Factor (EAF)</t>
  </si>
  <si>
    <t>RELY×DATA×CPLX</t>
  </si>
  <si>
    <t>Adjusted for 3-month scope</t>
  </si>
  <si>
    <t>Adjusted Effort  E_adj = E×EAF</t>
  </si>
  <si>
    <t>E × EAF</t>
  </si>
  <si>
    <t>Final effort estimate</t>
  </si>
  <si>
    <t xml:space="preserve">  C.  Staffing &amp; Resource Plan  (3-Month Project)</t>
  </si>
  <si>
    <t>Role</t>
  </si>
  <si>
    <t>No. of
People</t>
  </si>
  <si>
    <t>Monthly Rate
(₹)</t>
  </si>
  <si>
    <t>Duration
(Months)</t>
  </si>
  <si>
    <t>Total Cost
(₹)</t>
  </si>
  <si>
    <t>Responsibility</t>
  </si>
  <si>
    <t>Project Manager</t>
  </si>
  <si>
    <t>Planning, coordination, reporting</t>
  </si>
  <si>
    <t>Full-Stack Developer (Node + React)</t>
  </si>
  <si>
    <t>Core backend APIs + frontend UI</t>
  </si>
  <si>
    <t>AI / ML Integration Developer</t>
  </si>
  <si>
    <t>Gemini API, Vapi, chatbot integration</t>
  </si>
  <si>
    <t>QA / Test Engineer</t>
  </si>
  <si>
    <t>Test cases, regression, security checks</t>
  </si>
  <si>
    <t>DevOps / Cloud Engineer</t>
  </si>
  <si>
    <t>AWS deployment, Docker, CI/CD pipeline</t>
  </si>
  <si>
    <t>UI / UX Designer</t>
  </si>
  <si>
    <t>Wireframes, design system, prototypes</t>
  </si>
  <si>
    <t>Total Personnel Cost</t>
  </si>
  <si>
    <t xml:space="preserve">  D.  Total Project Cost Summary</t>
  </si>
  <si>
    <t>Cost Category</t>
  </si>
  <si>
    <t>Amount (₹)</t>
  </si>
  <si>
    <t>3-Mo. Rate</t>
  </si>
  <si>
    <t>Qty</t>
  </si>
  <si>
    <t>Calculated</t>
  </si>
  <si>
    <t>Personnel Costs</t>
  </si>
  <si>
    <t>Team salaries – 3 months (see Section C)</t>
  </si>
  <si>
    <t>Cloud &amp; Infrastructure</t>
  </si>
  <si>
    <t>AWS EC2 + S3 + MongoDB Atlas – ₹15,000/mo</t>
  </si>
  <si>
    <t>Third-Party API Costs</t>
  </si>
  <si>
    <t>Twilio + Vapi + Gemini API – ₹7,000/mo</t>
  </si>
  <si>
    <t>Software Licenses &amp; Tools</t>
  </si>
  <si>
    <t>IDEs, PM tools, testing frameworks (one-time)</t>
  </si>
  <si>
    <t>QA &amp; Security Audit</t>
  </si>
  <si>
    <t>Basic pen test + HIPAA checklist review</t>
  </si>
  <si>
    <t>Training &amp; Documentation</t>
  </si>
  <si>
    <t>User guides, internal onboarding</t>
  </si>
  <si>
    <t>Contingency Reserve (10%)</t>
  </si>
  <si>
    <t>10% risk buffer on all categories above</t>
  </si>
  <si>
    <t>TOTAL ESTIMATED PROJECT COST</t>
  </si>
  <si>
    <t xml:space="preserve">  AI-Powered Smart Healthcare Assistant System  ·  Project Gantt Chart  (13 Weeks / 3 Months)</t>
  </si>
  <si>
    <t>Month 1 – March / April 2026</t>
  </si>
  <si>
    <t>Month 2 – April / May 2026</t>
  </si>
  <si>
    <t>Month 3 – May / June 2026</t>
  </si>
  <si>
    <t>WBS</t>
  </si>
  <si>
    <t>Task / Work Package</t>
  </si>
  <si>
    <t>Owner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</si>
  <si>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</si>
  <si>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</si>
  <si>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</si>
  <si>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</si>
  <si>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</si>
  <si>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</si>
  <si>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</si>
  <si>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</si>
  <si>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</si>
  <si>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</si>
  <si>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</si>
  <si>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</si>
  <si>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</si>
  <si>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Team</t>
  </si>
  <si>
    <t>Requirement Gathering</t>
  </si>
  <si>
    <t>All</t>
  </si>
  <si>
    <t>SRS Document (IEEE)</t>
  </si>
  <si>
    <t>System Architecture</t>
  </si>
  <si>
    <t>Dev Lead</t>
  </si>
  <si>
    <t>WBS, Cost &amp; Schedule</t>
  </si>
  <si>
    <t>Dev Team</t>
  </si>
  <si>
    <t>User Authentication (JWT/RBAC/OTP)</t>
  </si>
  <si>
    <t>Dev 1</t>
  </si>
  <si>
    <t>Dev 2</t>
  </si>
  <si>
    <t>Database Schema (MongoDB)</t>
  </si>
  <si>
    <t>DBA</t>
  </si>
  <si>
    <t>QA</t>
  </si>
  <si>
    <t>Dev 1+2</t>
  </si>
  <si>
    <t>Prescription Management (Upload+OCR)</t>
  </si>
  <si>
    <t>React.js Patient Dashboard</t>
  </si>
  <si>
    <t>Frontend</t>
  </si>
  <si>
    <t>SPRINT 3 – AI CHATBOT &amp; AUTOMATION</t>
  </si>
  <si>
    <t>AI Dev</t>
  </si>
  <si>
    <t>Follow-Up Automation (Twilio+Vapi+n8n)</t>
  </si>
  <si>
    <t>Dev 3</t>
  </si>
  <si>
    <t>Admin Dashboard + Frontends</t>
  </si>
  <si>
    <t>INTEGRATION, SECURITY &amp; DEPLOYMENT</t>
  </si>
  <si>
    <t>QA+DevOps</t>
  </si>
  <si>
    <t>Integration &amp; Load Testing</t>
  </si>
  <si>
    <t>Security Audit (HIPAA/GDPR)</t>
  </si>
  <si>
    <t>Security</t>
  </si>
  <si>
    <t>DevOps</t>
  </si>
  <si>
    <t>Cloud Deploy (AWS/Docker/K8s)</t>
  </si>
  <si>
    <t>Docs, Training &amp; Handover</t>
  </si>
  <si>
    <t>PM+Dev</t>
  </si>
  <si>
    <t xml:space="preserve">  Effort Distribution by Phase  ·  3-Month Project</t>
  </si>
  <si>
    <t>Tasks</t>
  </si>
  <si>
    <t>Effort (PM)</t>
  </si>
  <si>
    <t>Duration (Wks)</t>
  </si>
  <si>
    <t>Team Size</t>
  </si>
  <si>
    <t>Milestone</t>
  </si>
  <si>
    <t>Project Charter signed</t>
  </si>
  <si>
    <t>SRS + Architecture approved</t>
  </si>
  <si>
    <t>Sprint 1</t>
  </si>
  <si>
    <t>Auth &amp; Verification modules live</t>
  </si>
  <si>
    <t>Sprint 2</t>
  </si>
  <si>
    <t>Booking, Rx &amp; History complete</t>
  </si>
  <si>
    <t>Sprint 3</t>
  </si>
  <si>
    <t>Chatbot &amp; Automation deployed</t>
  </si>
  <si>
    <t>Security audit passed</t>
  </si>
  <si>
    <t>Live on AWS; handover signed</t>
  </si>
  <si>
    <t>TOTAL</t>
  </si>
  <si>
    <t>System live &amp; handed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</si>
</sst>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₹#,##0"/>
    <numFmt numFmtId="165" formatCode="0.0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8"/>
      <color rgb="FFFFFFFF"/>
      <name val="Calibri"/>
      <charset val="1"/>
    </font>
    <font>
      <sz val="9"/>
      <color rgb="FF3D3D3D"/>
      <name val="Calibri"/>
      <charset val="1"/>
    </font>
    <font>
      <sz val="9"/>
      <color rgb="FF607080"/>
      <name val="Calibri"/>
      <charset val="1"/>
    </font>
    <font>
      <b/>
      <sz val="9"/>
      <color rgb="FF3D3D3D"/>
      <name val="Calibri"/>
      <charset val="1"/>
    </font>
    <font>
      <b/>
      <sz val="10"/>
      <color rgb="FF3D3D3D"/>
      <name val="Calibri"/>
      <charset val="1"/>
    </font>
    <font>
      <i/>
      <sz val="9"/>
      <color rgb="FF607080"/>
      <name val="Calibri"/>
      <charset val="1"/>
    </font>
    <font>
      <b/>
      <sz val="11"/>
      <color rgb="FFFFFFFF"/>
      <name val="Calibri"/>
      <charset val="1"/>
    </font>
    <font>
      <b/>
      <sz val="11"/>
      <color rgb="FFE9C46A"/>
      <name val="Calibri"/>
      <charset val="1"/>
    </font>
    <font>
      <sz val="9"/>
      <color rgb="FFFFFFFF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1C2B3A"/>
        <bgColor rgb="FF3D3D3D"/>
      </patternFill>
    </fill>
    <fill>
      <patternFill patternType="solid">
        <fgColor rgb="FF2D4A5E"/>
        <bgColor rgb="FF3A5A6E"/>
      </patternFill>
    </fill>
    <fill>
      <patternFill patternType="solid">
        <fgColor rgb="FF5C7A99"/>
        <bgColor rgb="FF607080"/>
      </patternFill>
    </fill>
    <fill>
      <patternFill patternType="solid">
        <fgColor rgb="FFF7F3EE"/>
        <bgColor rgb="FFEDE8E1"/>
      </patternFill>
    </fill>
    <fill>
      <patternFill patternType="solid">
        <fgColor rgb="FFD4F0EC"/>
        <bgColor rgb="FFD8E0E8"/>
      </patternFill>
    </fill>
    <fill>
      <patternFill patternType="solid">
        <fgColor rgb="FF8E6B3E"/>
        <bgColor rgb="FFC07A2A"/>
      </patternFill>
    </fill>
    <fill>
      <patternFill patternType="solid">
        <fgColor rgb="FF2A9D8F"/>
        <bgColor rgb="FF008080"/>
      </patternFill>
    </fill>
    <fill>
      <patternFill patternType="solid">
        <fgColor rgb="FFFFFFFF"/>
        <bgColor rgb="FFF7F3EE"/>
      </patternFill>
    </fill>
    <fill>
      <patternFill patternType="solid">
        <fgColor rgb="FFEDE8E1"/>
        <bgColor rgb="FFE8E4DF"/>
      </patternFill>
    </fill>
    <fill>
      <patternFill patternType="solid">
        <fgColor rgb="FFC07A2A"/>
        <bgColor rgb="FF8E6B3E"/>
      </patternFill>
    </fill>
    <fill>
      <patternFill patternType="solid">
        <fgColor rgb="FF4A4A6A"/>
        <bgColor rgb="FF3A5A6E"/>
      </patternFill>
    </fill>
    <fill>
      <patternFill patternType="solid">
        <fgColor rgb="FFFEF3CB"/>
        <bgColor rgb="FFF7F3EE"/>
      </patternFill>
    </fill>
  </fills>
  <borders count="9">
    <border>
      <left/>
      <right/>
      <top/>
      <bottom/>
      <diagonal/>
    </border>
    <border>
      <left style="thin">
        <color rgb="FF1C2B3A"/>
      </left>
      <right/>
      <top style="thin">
        <color rgb="FF1C2B3A"/>
      </top>
      <bottom style="thin">
        <color rgb="FF1C2B3A"/>
      </bottom>
      <diagonal/>
    </border>
    <border>
      <left style="thin">
        <color rgb="FF3A5A6E"/>
      </left>
      <right style="thin">
        <color rgb="FF3A5A6E"/>
      </right>
      <top style="thin">
        <color rgb="FF3A5A6E"/>
      </top>
      <bottom style="thin">
        <color rgb="FF3A5A6E"/>
      </bottom>
      <diagonal/>
    </border>
    <border>
      <left style="thin">
        <color rgb="FF1C2B3A"/>
      </left>
      <right style="thin">
        <color rgb="FF1C2B3A"/>
      </right>
      <top style="thin">
        <color rgb="FF1C2B3A"/>
      </top>
      <bottom style="thin">
        <color rgb="FF1C2B3A"/>
      </bottom>
      <diagonal/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  <diagonal/>
    </border>
    <border>
      <left style="thin">
        <color rgb="FFE8E4DF"/>
      </left>
      <right/>
      <top style="thin">
        <color rgb="FFE8E4DF"/>
      </top>
      <bottom style="thin">
        <color rgb="FFE8E4DF"/>
      </bottom>
      <diagonal/>
    </border>
    <border>
      <left style="thin">
        <color rgb="FFE8E4DF"/>
      </left>
      <right style="thin">
        <color rgb="FFE8E4DF"/>
      </right>
      <top style="thin">
        <color rgb="FFE8E4DF"/>
      </top>
      <bottom style="thin">
        <color rgb="FFE8E4DF"/>
      </bottom>
      <diagonal/>
    </border>
    <border>
      <left style="thin">
        <color rgb="FF2D4A5E"/>
      </left>
      <right/>
      <top style="thin">
        <color rgb="FF2D4A5E"/>
      </top>
      <bottom style="thin">
        <color rgb="FF2D4A5E"/>
      </bottom>
      <diagonal/>
    </border>
    <border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left" vertical="center"/>
    </xf>
    <xf numFmtId="0" fontId="5" fillId="10" borderId="6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center" vertical="center"/>
    </xf>
    <xf numFmtId="0" fontId="0" fillId="5" borderId="6" xfId="0" applyFill="1" applyBorder="1"/>
    <xf numFmtId="0" fontId="7" fillId="6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2" fontId="7" fillId="9" borderId="6" xfId="0" applyNumberFormat="1" applyFont="1" applyFill="1" applyBorder="1" applyAlignment="1">
      <alignment horizontal="center" vertical="center" wrapText="1"/>
    </xf>
    <xf numFmtId="2" fontId="7" fillId="6" borderId="6" xfId="0" applyNumberFormat="1" applyFont="1" applyFill="1" applyBorder="1" applyAlignment="1">
      <alignment horizontal="center" vertical="center" wrapText="1"/>
    </xf>
    <xf numFmtId="164" fontId="5" fillId="6" borderId="6" xfId="0" applyNumberFormat="1" applyFont="1" applyFill="1" applyBorder="1" applyAlignment="1">
      <alignment horizontal="right" vertical="center" wrapText="1"/>
    </xf>
    <xf numFmtId="164" fontId="5" fillId="9" borderId="6" xfId="0" applyNumberFormat="1" applyFont="1" applyFill="1" applyBorder="1" applyAlignment="1">
      <alignment horizontal="right" vertical="center" wrapText="1"/>
    </xf>
    <xf numFmtId="0" fontId="0" fillId="13" borderId="6" xfId="0" applyFill="1" applyBorder="1"/>
    <xf numFmtId="164" fontId="8" fillId="13" borderId="6" xfId="0" applyNumberFormat="1" applyFont="1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 vertical="center" wrapText="1"/>
    </xf>
    <xf numFmtId="0" fontId="5" fillId="9" borderId="6" xfId="0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left" vertical="center"/>
    </xf>
    <xf numFmtId="164" fontId="11" fillId="2" borderId="3" xfId="0" applyNumberFormat="1" applyFont="1" applyFill="1" applyBorder="1" applyAlignment="1">
      <alignment horizontal="right" vertical="center"/>
    </xf>
    <xf numFmtId="0" fontId="0" fillId="2" borderId="3" xfId="0" applyFill="1" applyBorder="1"/>
    <xf numFmtId="0" fontId="2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4" borderId="8" xfId="0" applyFill="1" applyBorder="1"/>
    <xf numFmtId="0" fontId="0" fillId="6" borderId="8" xfId="0" applyFill="1" applyBorder="1"/>
    <xf numFmtId="0" fontId="5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0" fillId="9" borderId="8" xfId="0" applyFill="1" applyBorder="1"/>
    <xf numFmtId="0" fontId="2" fillId="7" borderId="4" xfId="0" applyFont="1" applyFill="1" applyBorder="1" applyAlignment="1">
      <alignment horizontal="center" vertical="center" wrapText="1"/>
    </xf>
    <xf numFmtId="0" fontId="0" fillId="7" borderId="8" xfId="0" applyFill="1" applyBorder="1"/>
    <xf numFmtId="0" fontId="1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8" borderId="8" xfId="0" applyFill="1" applyBorder="1"/>
    <xf numFmtId="0" fontId="12" fillId="8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0" fillId="11" borderId="8" xfId="0" applyFill="1" applyBorder="1"/>
    <xf numFmtId="0" fontId="2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0" fillId="12" borderId="8" xfId="0" applyFill="1" applyBorder="1"/>
    <xf numFmtId="0" fontId="12" fillId="12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165" fontId="5" fillId="6" borderId="6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left" vertical="center" wrapText="1"/>
    </xf>
    <xf numFmtId="165" fontId="5" fillId="9" borderId="6" xfId="0" applyNumberFormat="1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8" fillId="13" borderId="5" xfId="0" applyFont="1" applyFill="1" applyBorder="1" applyAlignment="1">
      <alignment horizontal="left" vertical="center"/>
    </xf>
    <xf numFmtId="0" fontId="7" fillId="13" borderId="5" xfId="0" applyFont="1" applyFill="1" applyBorder="1" applyAlignment="1">
      <alignment horizontal="left" vertical="center"/>
    </xf>
    <xf numFmtId="0" fontId="8" fillId="1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6B3E"/>
      <rgbColor rgb="FF800080"/>
      <rgbColor rgb="FF3A5A6E"/>
      <rgbColor rgb="FFD9D9D9"/>
      <rgbColor rgb="FF878787"/>
      <rgbColor rgb="FF9999FF"/>
      <rgbColor rgb="FF993366"/>
      <rgbColor rgb="FFFEF3CB"/>
      <rgbColor rgb="FFD4F0EC"/>
      <rgbColor rgb="FF660066"/>
      <rgbColor rgb="FFFF8080"/>
      <rgbColor rgb="FF2E5F99"/>
      <rgbColor rgb="FFC8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E0E8"/>
      <rgbColor rgb="FFEDE8E1"/>
      <rgbColor rgb="FFF7F3EE"/>
      <rgbColor rgb="FF99CCFF"/>
      <rgbColor rgb="FFE8E4DF"/>
      <rgbColor rgb="FFCC99FF"/>
      <rgbColor rgb="FFE9C46A"/>
      <rgbColor rgb="FF397BCA"/>
      <rgbColor rgb="FF33CCCC"/>
      <rgbColor rgb="FF99CC00"/>
      <rgbColor rgb="FFFFCC00"/>
      <rgbColor rgb="FFFF9900"/>
      <rgbColor rgb="FFC07A2A"/>
      <rgbColor rgb="FF607080"/>
      <rgbColor rgb="FF5C7A99"/>
      <rgbColor rgb="FF1C2B3A"/>
      <rgbColor rgb="FF2A9D8F"/>
      <rgbColor rgb="FF003300"/>
      <rgbColor rgb="FF4A4A6A"/>
      <rgbColor rgb="FF993300"/>
      <rgbColor rgb="FF993366"/>
      <rgbColor rgb="FF2D4A5E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Effort (Person-Months) by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'Effort Summary'!$C$2</c:f>
              <c:strCache>
                <c:ptCount val="1"/>
                <c:pt idx="0">
                  <c:v>Effort (PM)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'Effort Summary'!$A$3:$A$9</c:f>
              <c:strCache>
                <c:ptCount val="7"/>
                <c:pt idx="0">
                  <c:v>Initiation</c:v>
                </c:pt>
                <c:pt idx="1">
                  <c:v>Planning</c:v>
                </c:pt>
                <c:pt idx="2">
                  <c:v>Sprint 1</c:v>
                </c:pt>
                <c:pt idx="3">
                  <c:v>Sprint 2</c:v>
                </c:pt>
                <c:pt idx="4">
                  <c:v>Sprint 3</c:v>
                </c:pt>
                <c:pt idx="5">
                  <c:v>Testing</c:v>
                </c:pt>
                <c:pt idx="6">
                  <c:v>Deployment</c:v>
                </c:pt>
              </c:strCache>
            </c:strRef>
          </c:cat>
          <c:val>
            <c:numRef>
              <c:f>'Effort Summary'!$C$3:$C$9</c:f>
              <c:numCache>
                <c:formatCode>0.0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4.5</c:v>
                </c:pt>
                <c:pt idx="3">
                  <c:v>6.5</c:v>
                </c:pt>
                <c:pt idx="4">
                  <c:v>6.5</c:v>
                </c:pt>
                <c:pt idx="5">
                  <c:v>3.5</c:v>
                </c:pt>
                <c:pt idx="6">
                  <c:v>1.5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4AF-4CB3-8072-F606EE39E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33441392"/>
        <c:axId val="-2033441936"/>
      </c:barChart>
      <c:catAx>
        <c:axId val="-20334413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Phase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2033441936"/>
        <c:crosses val="autoZero"/>
        <c:auto val="1"/>
        <c:lblAlgn val="ctr"/>
        <c:lblOffset val="100"/>
        <c:noMultiLvlLbl val="0"/>
      </c:catAx>
      <c:valAx>
        <c:axId val="-2033441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Person-Months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20334413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1574750</xdr:colOff>
      <xdr:row>31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showGridLines="0" zoomScaleNormal="100" workbookViewId="0">
      <pane ySplit="2" topLeftCell="A48" activePane="bottomLeft" state="frozen"/>
      <selection pane="bottomLeft" sqref="A1:H1"/>
    </sheetView>
  </sheetViews>
  <sheetFormatPr defaultColWidth="8.6640625" defaultRowHeight="14.4" x14ac:dyDescent="0.3"/>
  <cols>
    <col min="1" max="1" width="9" customWidth="1"/>
    <col min="2" max="2" width="5" customWidth="1"/>
    <col min="3" max="3" width="38" customWidth="1"/>
    <col min="4" max="4" width="16" customWidth="1"/>
    <col min="5" max="5" width="9.21875" bestFit="1" customWidth="1"/>
    <col min="6" max="7" width="7" customWidth="1"/>
    <col min="8" max="8" width="24" customWidth="1"/>
  </cols>
  <sheetData>
    <row r="1" spans="1:8" ht="27.75" customHeight="1" x14ac:dyDescent="0.3">
      <c r="A1" s="83" t="s">
        <v>0</v>
      </c>
      <c r="B1" s="83"/>
      <c r="C1" s="83"/>
      <c r="D1" s="83"/>
      <c r="E1" s="83"/>
      <c r="F1" s="83"/>
      <c r="G1" s="83"/>
      <c r="H1" s="83"/>
    </row>
    <row r="2" spans="1:8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9.5" customHeight="1" x14ac:dyDescent="0.3">
      <c r="A3" s="2" t="s">
        <v>9</v>
      </c>
      <c r="B3" s="2">
        <v>1</v>
      </c>
      <c r="C3" s="3" t="s">
        <v>10</v>
      </c>
      <c r="D3" s="4" t="s">
        <v>11</v>
      </c>
      <c r="E3" s="2">
        <v>10</v>
      </c>
      <c r="F3" s="2">
        <v>1</v>
      </c>
      <c r="G3" s="2">
        <v>2</v>
      </c>
      <c r="H3" s="3" t="s">
        <v>12</v>
      </c>
    </row>
    <row r="4" spans="1:8" ht="15.75" customHeight="1" x14ac:dyDescent="0.3">
      <c r="A4" s="5" t="s">
        <v>13</v>
      </c>
      <c r="B4" s="5">
        <v>2</v>
      </c>
      <c r="C4" s="6" t="s">
        <v>14</v>
      </c>
      <c r="D4" s="7" t="s">
        <v>11</v>
      </c>
      <c r="E4" s="5">
        <v>5</v>
      </c>
      <c r="F4" s="5">
        <v>1</v>
      </c>
      <c r="G4" s="5">
        <v>1</v>
      </c>
      <c r="H4" s="6" t="s">
        <v>15</v>
      </c>
    </row>
    <row r="5" spans="1:8" ht="15.75" customHeight="1" x14ac:dyDescent="0.3">
      <c r="A5" s="8" t="s">
        <v>16</v>
      </c>
      <c r="B5" s="8">
        <v>2</v>
      </c>
      <c r="C5" s="9" t="s">
        <v>17</v>
      </c>
      <c r="D5" s="7" t="s">
        <v>11</v>
      </c>
      <c r="E5" s="8">
        <v>3</v>
      </c>
      <c r="F5" s="8">
        <v>1</v>
      </c>
      <c r="G5" s="8">
        <v>1</v>
      </c>
      <c r="H5" s="9" t="s">
        <v>18</v>
      </c>
    </row>
    <row r="6" spans="1:8" ht="15.75" customHeight="1" x14ac:dyDescent="0.3">
      <c r="A6" s="5" t="s">
        <v>19</v>
      </c>
      <c r="B6" s="5">
        <v>2</v>
      </c>
      <c r="C6" s="6" t="s">
        <v>20</v>
      </c>
      <c r="D6" s="7" t="s">
        <v>11</v>
      </c>
      <c r="E6" s="5">
        <v>2</v>
      </c>
      <c r="F6" s="5">
        <v>2</v>
      </c>
      <c r="G6" s="5">
        <v>2</v>
      </c>
      <c r="H6" s="6" t="s">
        <v>12</v>
      </c>
    </row>
    <row r="7" spans="1:8" ht="19.5" customHeight="1" x14ac:dyDescent="0.3">
      <c r="A7" s="2" t="s">
        <v>21</v>
      </c>
      <c r="B7" s="2">
        <v>1</v>
      </c>
      <c r="C7" s="3" t="s">
        <v>22</v>
      </c>
      <c r="D7" s="10" t="s">
        <v>23</v>
      </c>
      <c r="E7" s="2">
        <v>14</v>
      </c>
      <c r="F7" s="2">
        <v>2</v>
      </c>
      <c r="G7" s="2">
        <v>5</v>
      </c>
      <c r="H7" s="3" t="s">
        <v>24</v>
      </c>
    </row>
    <row r="8" spans="1:8" ht="15.75" customHeight="1" x14ac:dyDescent="0.3">
      <c r="A8" s="5" t="s">
        <v>25</v>
      </c>
      <c r="B8" s="5">
        <v>2</v>
      </c>
      <c r="C8" s="6" t="s">
        <v>26</v>
      </c>
      <c r="D8" s="11" t="s">
        <v>23</v>
      </c>
      <c r="E8" s="5">
        <v>5</v>
      </c>
      <c r="F8" s="5">
        <v>2</v>
      </c>
      <c r="G8" s="5">
        <v>3</v>
      </c>
      <c r="H8" s="6" t="s">
        <v>27</v>
      </c>
    </row>
    <row r="9" spans="1:8" ht="15.75" customHeight="1" x14ac:dyDescent="0.3">
      <c r="A9" s="8" t="s">
        <v>28</v>
      </c>
      <c r="B9" s="8">
        <v>2</v>
      </c>
      <c r="C9" s="9" t="s">
        <v>29</v>
      </c>
      <c r="D9" s="11" t="s">
        <v>23</v>
      </c>
      <c r="E9" s="8">
        <v>4</v>
      </c>
      <c r="F9" s="8">
        <v>3</v>
      </c>
      <c r="G9" s="8">
        <v>4</v>
      </c>
      <c r="H9" s="9" t="s">
        <v>30</v>
      </c>
    </row>
    <row r="10" spans="1:8" ht="15.75" customHeight="1" x14ac:dyDescent="0.3">
      <c r="A10" s="5" t="s">
        <v>31</v>
      </c>
      <c r="B10" s="5">
        <v>2</v>
      </c>
      <c r="C10" s="6" t="s">
        <v>32</v>
      </c>
      <c r="D10" s="11" t="s">
        <v>23</v>
      </c>
      <c r="E10" s="5">
        <v>3</v>
      </c>
      <c r="F10" s="5">
        <v>4</v>
      </c>
      <c r="G10" s="5">
        <v>5</v>
      </c>
      <c r="H10" s="6" t="s">
        <v>33</v>
      </c>
    </row>
    <row r="11" spans="1:8" ht="15.75" customHeight="1" x14ac:dyDescent="0.3">
      <c r="A11" s="8" t="s">
        <v>34</v>
      </c>
      <c r="B11" s="8">
        <v>2</v>
      </c>
      <c r="C11" s="9" t="s">
        <v>35</v>
      </c>
      <c r="D11" s="11" t="s">
        <v>23</v>
      </c>
      <c r="E11" s="8">
        <v>2</v>
      </c>
      <c r="F11" s="8">
        <v>5</v>
      </c>
      <c r="G11" s="8">
        <v>5</v>
      </c>
      <c r="H11" s="9" t="s">
        <v>36</v>
      </c>
    </row>
    <row r="12" spans="1:8" ht="19.5" customHeight="1" x14ac:dyDescent="0.3">
      <c r="A12" s="2" t="s">
        <v>37</v>
      </c>
      <c r="B12" s="2">
        <v>1</v>
      </c>
      <c r="C12" s="3" t="s">
        <v>38</v>
      </c>
      <c r="D12" s="12" t="s">
        <v>39</v>
      </c>
      <c r="E12" s="2">
        <v>28</v>
      </c>
      <c r="F12" s="2">
        <v>1</v>
      </c>
      <c r="G12" s="2">
        <v>5</v>
      </c>
      <c r="H12" s="3" t="s">
        <v>40</v>
      </c>
    </row>
    <row r="13" spans="1:8" ht="15.75" customHeight="1" x14ac:dyDescent="0.3">
      <c r="A13" s="8" t="s">
        <v>41</v>
      </c>
      <c r="B13" s="8">
        <v>2</v>
      </c>
      <c r="C13" s="9" t="s">
        <v>42</v>
      </c>
      <c r="D13" s="13" t="s">
        <v>39</v>
      </c>
      <c r="E13" s="8">
        <v>7</v>
      </c>
      <c r="F13" s="8">
        <v>1</v>
      </c>
      <c r="G13" s="8">
        <v>2</v>
      </c>
      <c r="H13" s="9" t="s">
        <v>43</v>
      </c>
    </row>
    <row r="14" spans="1:8" ht="15.75" customHeight="1" x14ac:dyDescent="0.3">
      <c r="A14" s="14" t="s">
        <v>44</v>
      </c>
      <c r="B14" s="14">
        <v>3</v>
      </c>
      <c r="C14" s="15" t="s">
        <v>45</v>
      </c>
      <c r="D14" s="13" t="s">
        <v>39</v>
      </c>
      <c r="E14" s="14">
        <v>3</v>
      </c>
      <c r="F14" s="14">
        <v>1</v>
      </c>
      <c r="G14" s="14">
        <v>2</v>
      </c>
      <c r="H14" s="15" t="s">
        <v>46</v>
      </c>
    </row>
    <row r="15" spans="1:8" ht="15.75" customHeight="1" x14ac:dyDescent="0.3">
      <c r="A15" s="16" t="s">
        <v>47</v>
      </c>
      <c r="B15" s="16">
        <v>3</v>
      </c>
      <c r="C15" s="17" t="s">
        <v>48</v>
      </c>
      <c r="D15" s="13" t="s">
        <v>39</v>
      </c>
      <c r="E15" s="16">
        <v>2</v>
      </c>
      <c r="F15" s="16">
        <v>2</v>
      </c>
      <c r="G15" s="16">
        <v>2</v>
      </c>
      <c r="H15" s="17" t="s">
        <v>49</v>
      </c>
    </row>
    <row r="16" spans="1:8" ht="15.75" customHeight="1" x14ac:dyDescent="0.3">
      <c r="A16" s="14" t="s">
        <v>50</v>
      </c>
      <c r="B16" s="14">
        <v>3</v>
      </c>
      <c r="C16" s="15" t="s">
        <v>51</v>
      </c>
      <c r="D16" s="13" t="s">
        <v>39</v>
      </c>
      <c r="E16" s="14">
        <v>2</v>
      </c>
      <c r="F16" s="14">
        <v>2</v>
      </c>
      <c r="G16" s="14">
        <v>3</v>
      </c>
      <c r="H16" s="15" t="s">
        <v>52</v>
      </c>
    </row>
    <row r="17" spans="1:8" ht="15.75" customHeight="1" x14ac:dyDescent="0.3">
      <c r="A17" s="8" t="s">
        <v>53</v>
      </c>
      <c r="B17" s="8">
        <v>2</v>
      </c>
      <c r="C17" s="9" t="s">
        <v>54</v>
      </c>
      <c r="D17" s="13" t="s">
        <v>39</v>
      </c>
      <c r="E17" s="8">
        <v>7</v>
      </c>
      <c r="F17" s="8">
        <v>3</v>
      </c>
      <c r="G17" s="8">
        <v>4</v>
      </c>
      <c r="H17" s="9" t="s">
        <v>55</v>
      </c>
    </row>
    <row r="18" spans="1:8" ht="15.75" customHeight="1" x14ac:dyDescent="0.3">
      <c r="A18" s="14" t="s">
        <v>56</v>
      </c>
      <c r="B18" s="14">
        <v>3</v>
      </c>
      <c r="C18" s="15" t="s">
        <v>57</v>
      </c>
      <c r="D18" s="13" t="s">
        <v>39</v>
      </c>
      <c r="E18" s="14">
        <v>3</v>
      </c>
      <c r="F18" s="14">
        <v>3</v>
      </c>
      <c r="G18" s="14">
        <v>4</v>
      </c>
      <c r="H18" s="15" t="s">
        <v>58</v>
      </c>
    </row>
    <row r="19" spans="1:8" ht="15.75" customHeight="1" x14ac:dyDescent="0.3">
      <c r="A19" s="16" t="s">
        <v>59</v>
      </c>
      <c r="B19" s="16">
        <v>3</v>
      </c>
      <c r="C19" s="17" t="s">
        <v>60</v>
      </c>
      <c r="D19" s="13" t="s">
        <v>39</v>
      </c>
      <c r="E19" s="16">
        <v>4</v>
      </c>
      <c r="F19" s="16">
        <v>4</v>
      </c>
      <c r="G19" s="16">
        <v>5</v>
      </c>
      <c r="H19" s="17" t="s">
        <v>61</v>
      </c>
    </row>
    <row r="20" spans="1:8" ht="15.75" customHeight="1" x14ac:dyDescent="0.3">
      <c r="A20" s="5" t="s">
        <v>62</v>
      </c>
      <c r="B20" s="5">
        <v>2</v>
      </c>
      <c r="C20" s="6" t="s">
        <v>63</v>
      </c>
      <c r="D20" s="13" t="s">
        <v>39</v>
      </c>
      <c r="E20" s="5">
        <v>5</v>
      </c>
      <c r="F20" s="5">
        <v>4</v>
      </c>
      <c r="G20" s="5">
        <v>5</v>
      </c>
      <c r="H20" s="6" t="s">
        <v>64</v>
      </c>
    </row>
    <row r="21" spans="1:8" ht="15.75" customHeight="1" x14ac:dyDescent="0.3">
      <c r="A21" s="8" t="s">
        <v>65</v>
      </c>
      <c r="B21" s="8">
        <v>2</v>
      </c>
      <c r="C21" s="9" t="s">
        <v>66</v>
      </c>
      <c r="D21" s="18" t="s">
        <v>67</v>
      </c>
      <c r="E21" s="8">
        <v>4</v>
      </c>
      <c r="F21" s="8">
        <v>5</v>
      </c>
      <c r="G21" s="8">
        <v>5</v>
      </c>
      <c r="H21" s="9" t="s">
        <v>68</v>
      </c>
    </row>
    <row r="22" spans="1:8" ht="19.5" customHeight="1" x14ac:dyDescent="0.3">
      <c r="A22" s="2" t="s">
        <v>69</v>
      </c>
      <c r="B22" s="2">
        <v>1</v>
      </c>
      <c r="C22" s="3" t="s">
        <v>70</v>
      </c>
      <c r="D22" s="12" t="s">
        <v>39</v>
      </c>
      <c r="E22" s="2">
        <v>30</v>
      </c>
      <c r="F22" s="2">
        <v>5</v>
      </c>
      <c r="G22" s="2">
        <v>9</v>
      </c>
      <c r="H22" s="3" t="s">
        <v>71</v>
      </c>
    </row>
    <row r="23" spans="1:8" ht="15.75" customHeight="1" x14ac:dyDescent="0.3">
      <c r="A23" s="8" t="s">
        <v>72</v>
      </c>
      <c r="B23" s="8">
        <v>2</v>
      </c>
      <c r="C23" s="9" t="s">
        <v>73</v>
      </c>
      <c r="D23" s="13" t="s">
        <v>39</v>
      </c>
      <c r="E23" s="8">
        <v>10</v>
      </c>
      <c r="F23" s="8">
        <v>5</v>
      </c>
      <c r="G23" s="8">
        <v>7</v>
      </c>
      <c r="H23" s="9" t="s">
        <v>74</v>
      </c>
    </row>
    <row r="24" spans="1:8" ht="15.75" customHeight="1" x14ac:dyDescent="0.3">
      <c r="A24" s="14" t="s">
        <v>75</v>
      </c>
      <c r="B24" s="14">
        <v>3</v>
      </c>
      <c r="C24" s="15" t="s">
        <v>76</v>
      </c>
      <c r="D24" s="13" t="s">
        <v>39</v>
      </c>
      <c r="E24" s="14">
        <v>3</v>
      </c>
      <c r="F24" s="14">
        <v>5</v>
      </c>
      <c r="G24" s="14">
        <v>6</v>
      </c>
      <c r="H24" s="15" t="s">
        <v>77</v>
      </c>
    </row>
    <row r="25" spans="1:8" ht="15.75" customHeight="1" x14ac:dyDescent="0.3">
      <c r="A25" s="16" t="s">
        <v>78</v>
      </c>
      <c r="B25" s="16">
        <v>3</v>
      </c>
      <c r="C25" s="17" t="s">
        <v>79</v>
      </c>
      <c r="D25" s="13" t="s">
        <v>39</v>
      </c>
      <c r="E25" s="16">
        <v>4</v>
      </c>
      <c r="F25" s="16">
        <v>6</v>
      </c>
      <c r="G25" s="16">
        <v>7</v>
      </c>
      <c r="H25" s="17" t="s">
        <v>80</v>
      </c>
    </row>
    <row r="26" spans="1:8" ht="15.75" customHeight="1" x14ac:dyDescent="0.3">
      <c r="A26" s="14" t="s">
        <v>81</v>
      </c>
      <c r="B26" s="14">
        <v>3</v>
      </c>
      <c r="C26" s="15" t="s">
        <v>82</v>
      </c>
      <c r="D26" s="13" t="s">
        <v>39</v>
      </c>
      <c r="E26" s="14">
        <v>3</v>
      </c>
      <c r="F26" s="14">
        <v>7</v>
      </c>
      <c r="G26" s="14">
        <v>8</v>
      </c>
      <c r="H26" s="15" t="s">
        <v>83</v>
      </c>
    </row>
    <row r="27" spans="1:8" ht="15.75" customHeight="1" x14ac:dyDescent="0.3">
      <c r="A27" s="8" t="s">
        <v>84</v>
      </c>
      <c r="B27" s="8">
        <v>2</v>
      </c>
      <c r="C27" s="9" t="s">
        <v>85</v>
      </c>
      <c r="D27" s="13" t="s">
        <v>39</v>
      </c>
      <c r="E27" s="8">
        <v>8</v>
      </c>
      <c r="F27" s="8">
        <v>7</v>
      </c>
      <c r="G27" s="8">
        <v>9</v>
      </c>
      <c r="H27" s="9" t="s">
        <v>86</v>
      </c>
    </row>
    <row r="28" spans="1:8" ht="15.75" customHeight="1" x14ac:dyDescent="0.3">
      <c r="A28" s="14" t="s">
        <v>87</v>
      </c>
      <c r="B28" s="14">
        <v>3</v>
      </c>
      <c r="C28" s="15" t="s">
        <v>88</v>
      </c>
      <c r="D28" s="13" t="s">
        <v>39</v>
      </c>
      <c r="E28" s="14">
        <v>3</v>
      </c>
      <c r="F28" s="14">
        <v>7</v>
      </c>
      <c r="G28" s="14">
        <v>8</v>
      </c>
      <c r="H28" s="15" t="s">
        <v>89</v>
      </c>
    </row>
    <row r="29" spans="1:8" ht="15.75" customHeight="1" x14ac:dyDescent="0.3">
      <c r="A29" s="16" t="s">
        <v>90</v>
      </c>
      <c r="B29" s="16">
        <v>3</v>
      </c>
      <c r="C29" s="17" t="s">
        <v>91</v>
      </c>
      <c r="D29" s="13" t="s">
        <v>39</v>
      </c>
      <c r="E29" s="16">
        <v>3</v>
      </c>
      <c r="F29" s="16">
        <v>8</v>
      </c>
      <c r="G29" s="16">
        <v>9</v>
      </c>
      <c r="H29" s="17" t="s">
        <v>92</v>
      </c>
    </row>
    <row r="30" spans="1:8" ht="15.75" customHeight="1" x14ac:dyDescent="0.3">
      <c r="A30" s="14" t="s">
        <v>93</v>
      </c>
      <c r="B30" s="14">
        <v>3</v>
      </c>
      <c r="C30" s="15" t="s">
        <v>94</v>
      </c>
      <c r="D30" s="13" t="s">
        <v>39</v>
      </c>
      <c r="E30" s="14">
        <v>2</v>
      </c>
      <c r="F30" s="14">
        <v>9</v>
      </c>
      <c r="G30" s="14">
        <v>9</v>
      </c>
      <c r="H30" s="15" t="s">
        <v>95</v>
      </c>
    </row>
    <row r="31" spans="1:8" ht="15.75" customHeight="1" x14ac:dyDescent="0.3">
      <c r="A31" s="8" t="s">
        <v>96</v>
      </c>
      <c r="B31" s="8">
        <v>2</v>
      </c>
      <c r="C31" s="9" t="s">
        <v>97</v>
      </c>
      <c r="D31" s="13" t="s">
        <v>39</v>
      </c>
      <c r="E31" s="8">
        <v>7</v>
      </c>
      <c r="F31" s="8">
        <v>8</v>
      </c>
      <c r="G31" s="8">
        <v>10</v>
      </c>
      <c r="H31" s="9" t="s">
        <v>98</v>
      </c>
    </row>
    <row r="32" spans="1:8" ht="15.75" customHeight="1" x14ac:dyDescent="0.3">
      <c r="A32" s="14" t="s">
        <v>99</v>
      </c>
      <c r="B32" s="14">
        <v>3</v>
      </c>
      <c r="C32" s="15" t="s">
        <v>100</v>
      </c>
      <c r="D32" s="13" t="s">
        <v>39</v>
      </c>
      <c r="E32" s="14">
        <v>3</v>
      </c>
      <c r="F32" s="14">
        <v>8</v>
      </c>
      <c r="G32" s="14">
        <v>9</v>
      </c>
      <c r="H32" s="15" t="s">
        <v>101</v>
      </c>
    </row>
    <row r="33" spans="1:8" ht="15.75" customHeight="1" x14ac:dyDescent="0.3">
      <c r="A33" s="16" t="s">
        <v>102</v>
      </c>
      <c r="B33" s="16">
        <v>3</v>
      </c>
      <c r="C33" s="17" t="s">
        <v>103</v>
      </c>
      <c r="D33" s="13" t="s">
        <v>39</v>
      </c>
      <c r="E33" s="16">
        <v>4</v>
      </c>
      <c r="F33" s="16">
        <v>9</v>
      </c>
      <c r="G33" s="16">
        <v>10</v>
      </c>
      <c r="H33" s="17" t="s">
        <v>104</v>
      </c>
    </row>
    <row r="34" spans="1:8" ht="15.75" customHeight="1" x14ac:dyDescent="0.3">
      <c r="A34" s="5" t="s">
        <v>105</v>
      </c>
      <c r="B34" s="5">
        <v>2</v>
      </c>
      <c r="C34" s="6" t="s">
        <v>106</v>
      </c>
      <c r="D34" s="13" t="s">
        <v>39</v>
      </c>
      <c r="E34" s="5">
        <v>8</v>
      </c>
      <c r="F34" s="5">
        <v>8</v>
      </c>
      <c r="G34" s="5">
        <v>10</v>
      </c>
      <c r="H34" s="6" t="s">
        <v>107</v>
      </c>
    </row>
    <row r="35" spans="1:8" ht="15.75" customHeight="1" x14ac:dyDescent="0.3">
      <c r="A35" s="8" t="s">
        <v>108</v>
      </c>
      <c r="B35" s="8">
        <v>2</v>
      </c>
      <c r="C35" s="9" t="s">
        <v>109</v>
      </c>
      <c r="D35" s="18" t="s">
        <v>67</v>
      </c>
      <c r="E35" s="8">
        <v>5</v>
      </c>
      <c r="F35" s="8">
        <v>10</v>
      </c>
      <c r="G35" s="8">
        <v>11</v>
      </c>
      <c r="H35" s="9" t="s">
        <v>110</v>
      </c>
    </row>
    <row r="36" spans="1:8" ht="19.5" customHeight="1" x14ac:dyDescent="0.3">
      <c r="A36" s="2" t="s">
        <v>111</v>
      </c>
      <c r="B36" s="2">
        <v>1</v>
      </c>
      <c r="C36" s="3" t="s">
        <v>112</v>
      </c>
      <c r="D36" s="12" t="s">
        <v>39</v>
      </c>
      <c r="E36" s="2">
        <v>28</v>
      </c>
      <c r="F36" s="2">
        <v>9</v>
      </c>
      <c r="G36" s="2">
        <v>13</v>
      </c>
      <c r="H36" s="3" t="s">
        <v>113</v>
      </c>
    </row>
    <row r="37" spans="1:8" ht="15.75" customHeight="1" x14ac:dyDescent="0.3">
      <c r="A37" s="8" t="s">
        <v>114</v>
      </c>
      <c r="B37" s="8">
        <v>2</v>
      </c>
      <c r="C37" s="9" t="s">
        <v>115</v>
      </c>
      <c r="D37" s="13" t="s">
        <v>39</v>
      </c>
      <c r="E37" s="8">
        <v>8</v>
      </c>
      <c r="F37" s="8">
        <v>9</v>
      </c>
      <c r="G37" s="8">
        <v>11</v>
      </c>
      <c r="H37" s="9" t="s">
        <v>116</v>
      </c>
    </row>
    <row r="38" spans="1:8" ht="15.75" customHeight="1" x14ac:dyDescent="0.3">
      <c r="A38" s="14" t="s">
        <v>117</v>
      </c>
      <c r="B38" s="14">
        <v>3</v>
      </c>
      <c r="C38" s="15" t="s">
        <v>118</v>
      </c>
      <c r="D38" s="13" t="s">
        <v>39</v>
      </c>
      <c r="E38" s="14">
        <v>4</v>
      </c>
      <c r="F38" s="14">
        <v>9</v>
      </c>
      <c r="G38" s="14">
        <v>10</v>
      </c>
      <c r="H38" s="15" t="s">
        <v>119</v>
      </c>
    </row>
    <row r="39" spans="1:8" ht="15.75" customHeight="1" x14ac:dyDescent="0.3">
      <c r="A39" s="16" t="s">
        <v>120</v>
      </c>
      <c r="B39" s="16">
        <v>3</v>
      </c>
      <c r="C39" s="17" t="s">
        <v>121</v>
      </c>
      <c r="D39" s="13" t="s">
        <v>39</v>
      </c>
      <c r="E39" s="16">
        <v>4</v>
      </c>
      <c r="F39" s="16">
        <v>10</v>
      </c>
      <c r="G39" s="16">
        <v>11</v>
      </c>
      <c r="H39" s="17" t="s">
        <v>122</v>
      </c>
    </row>
    <row r="40" spans="1:8" ht="15.75" customHeight="1" x14ac:dyDescent="0.3">
      <c r="A40" s="5" t="s">
        <v>123</v>
      </c>
      <c r="B40" s="5">
        <v>2</v>
      </c>
      <c r="C40" s="6" t="s">
        <v>124</v>
      </c>
      <c r="D40" s="13" t="s">
        <v>39</v>
      </c>
      <c r="E40" s="5">
        <v>8</v>
      </c>
      <c r="F40" s="5">
        <v>11</v>
      </c>
      <c r="G40" s="5">
        <v>12</v>
      </c>
      <c r="H40" s="6" t="s">
        <v>125</v>
      </c>
    </row>
    <row r="41" spans="1:8" ht="15.75" customHeight="1" x14ac:dyDescent="0.3">
      <c r="A41" s="16" t="s">
        <v>126</v>
      </c>
      <c r="B41" s="16">
        <v>3</v>
      </c>
      <c r="C41" s="17" t="s">
        <v>127</v>
      </c>
      <c r="D41" s="13" t="s">
        <v>39</v>
      </c>
      <c r="E41" s="16">
        <v>3</v>
      </c>
      <c r="F41" s="16">
        <v>11</v>
      </c>
      <c r="G41" s="16">
        <v>12</v>
      </c>
      <c r="H41" s="17" t="s">
        <v>128</v>
      </c>
    </row>
    <row r="42" spans="1:8" ht="15.75" customHeight="1" x14ac:dyDescent="0.3">
      <c r="A42" s="14" t="s">
        <v>129</v>
      </c>
      <c r="B42" s="14">
        <v>3</v>
      </c>
      <c r="C42" s="15" t="s">
        <v>130</v>
      </c>
      <c r="D42" s="13" t="s">
        <v>39</v>
      </c>
      <c r="E42" s="14">
        <v>3</v>
      </c>
      <c r="F42" s="14">
        <v>12</v>
      </c>
      <c r="G42" s="14">
        <v>12</v>
      </c>
      <c r="H42" s="15" t="s">
        <v>131</v>
      </c>
    </row>
    <row r="43" spans="1:8" ht="15.75" customHeight="1" x14ac:dyDescent="0.3">
      <c r="A43" s="16" t="s">
        <v>132</v>
      </c>
      <c r="B43" s="16">
        <v>3</v>
      </c>
      <c r="C43" s="17" t="s">
        <v>133</v>
      </c>
      <c r="D43" s="13" t="s">
        <v>39</v>
      </c>
      <c r="E43" s="16">
        <v>2</v>
      </c>
      <c r="F43" s="16">
        <v>12</v>
      </c>
      <c r="G43" s="16">
        <v>13</v>
      </c>
      <c r="H43" s="17" t="s">
        <v>134</v>
      </c>
    </row>
    <row r="44" spans="1:8" ht="15.75" customHeight="1" x14ac:dyDescent="0.3">
      <c r="A44" s="5" t="s">
        <v>135</v>
      </c>
      <c r="B44" s="5">
        <v>2</v>
      </c>
      <c r="C44" s="6" t="s">
        <v>61</v>
      </c>
      <c r="D44" s="13" t="s">
        <v>39</v>
      </c>
      <c r="E44" s="5">
        <v>6</v>
      </c>
      <c r="F44" s="5">
        <v>12</v>
      </c>
      <c r="G44" s="5">
        <v>13</v>
      </c>
      <c r="H44" s="6" t="s">
        <v>136</v>
      </c>
    </row>
    <row r="45" spans="1:8" ht="15.75" customHeight="1" x14ac:dyDescent="0.3">
      <c r="A45" s="8" t="s">
        <v>137</v>
      </c>
      <c r="B45" s="8">
        <v>2</v>
      </c>
      <c r="C45" s="9" t="s">
        <v>138</v>
      </c>
      <c r="D45" s="13" t="s">
        <v>39</v>
      </c>
      <c r="E45" s="8">
        <v>7</v>
      </c>
      <c r="F45" s="8">
        <v>12</v>
      </c>
      <c r="G45" s="8">
        <v>13</v>
      </c>
      <c r="H45" s="9" t="s">
        <v>139</v>
      </c>
    </row>
    <row r="46" spans="1:8" ht="15.75" customHeight="1" x14ac:dyDescent="0.3">
      <c r="A46" s="5" t="s">
        <v>140</v>
      </c>
      <c r="B46" s="5">
        <v>2</v>
      </c>
      <c r="C46" s="6" t="s">
        <v>141</v>
      </c>
      <c r="D46" s="18" t="s">
        <v>67</v>
      </c>
      <c r="E46" s="5">
        <v>5</v>
      </c>
      <c r="F46" s="5">
        <v>13</v>
      </c>
      <c r="G46" s="5">
        <v>13</v>
      </c>
      <c r="H46" s="6" t="s">
        <v>142</v>
      </c>
    </row>
    <row r="47" spans="1:8" ht="19.5" customHeight="1" x14ac:dyDescent="0.3">
      <c r="A47" s="2" t="s">
        <v>143</v>
      </c>
      <c r="B47" s="2">
        <v>1</v>
      </c>
      <c r="C47" s="3" t="s">
        <v>144</v>
      </c>
      <c r="D47" s="19" t="s">
        <v>67</v>
      </c>
      <c r="E47" s="2">
        <v>9</v>
      </c>
      <c r="F47" s="2">
        <v>12</v>
      </c>
      <c r="G47" s="2">
        <v>13</v>
      </c>
      <c r="H47" s="3" t="s">
        <v>145</v>
      </c>
    </row>
    <row r="48" spans="1:8" ht="15.75" customHeight="1" x14ac:dyDescent="0.3">
      <c r="A48" s="5" t="s">
        <v>146</v>
      </c>
      <c r="B48" s="5">
        <v>2</v>
      </c>
      <c r="C48" s="6" t="s">
        <v>147</v>
      </c>
      <c r="D48" s="18" t="s">
        <v>67</v>
      </c>
      <c r="E48" s="5">
        <v>4</v>
      </c>
      <c r="F48" s="5">
        <v>12</v>
      </c>
      <c r="G48" s="5">
        <v>13</v>
      </c>
      <c r="H48" s="6" t="s">
        <v>148</v>
      </c>
    </row>
    <row r="49" spans="1:8" ht="15.75" customHeight="1" x14ac:dyDescent="0.3">
      <c r="A49" s="8" t="s">
        <v>149</v>
      </c>
      <c r="B49" s="8">
        <v>2</v>
      </c>
      <c r="C49" s="9" t="s">
        <v>150</v>
      </c>
      <c r="D49" s="18" t="s">
        <v>67</v>
      </c>
      <c r="E49" s="8">
        <v>3</v>
      </c>
      <c r="F49" s="8">
        <v>13</v>
      </c>
      <c r="G49" s="8">
        <v>13</v>
      </c>
      <c r="H49" s="9" t="s">
        <v>151</v>
      </c>
    </row>
    <row r="50" spans="1:8" ht="15.75" customHeight="1" x14ac:dyDescent="0.3">
      <c r="A50" s="5" t="s">
        <v>152</v>
      </c>
      <c r="B50" s="5">
        <v>2</v>
      </c>
      <c r="C50" s="6" t="s">
        <v>153</v>
      </c>
      <c r="D50" s="18" t="s">
        <v>67</v>
      </c>
      <c r="E50" s="5">
        <v>2</v>
      </c>
      <c r="F50" s="5">
        <v>13</v>
      </c>
      <c r="G50" s="5">
        <v>13</v>
      </c>
      <c r="H50" s="6" t="s">
        <v>154</v>
      </c>
    </row>
    <row r="51" spans="1:8" ht="19.5" customHeight="1" x14ac:dyDescent="0.3">
      <c r="A51" s="2" t="s">
        <v>155</v>
      </c>
      <c r="B51" s="2">
        <v>1</v>
      </c>
      <c r="C51" s="3" t="s">
        <v>156</v>
      </c>
      <c r="D51" s="20" t="s">
        <v>157</v>
      </c>
      <c r="E51" s="2">
        <v>8</v>
      </c>
      <c r="F51" s="2">
        <v>12</v>
      </c>
      <c r="G51" s="2">
        <v>13</v>
      </c>
      <c r="H51" s="3" t="s">
        <v>158</v>
      </c>
    </row>
    <row r="52" spans="1:8" ht="15.75" customHeight="1" x14ac:dyDescent="0.3">
      <c r="A52" s="5" t="s">
        <v>159</v>
      </c>
      <c r="B52" s="5">
        <v>2</v>
      </c>
      <c r="C52" s="6" t="s">
        <v>160</v>
      </c>
      <c r="D52" s="21" t="s">
        <v>157</v>
      </c>
      <c r="E52" s="5">
        <v>4</v>
      </c>
      <c r="F52" s="5">
        <v>12</v>
      </c>
      <c r="G52" s="5">
        <v>13</v>
      </c>
      <c r="H52" s="6" t="s">
        <v>161</v>
      </c>
    </row>
    <row r="53" spans="1:8" ht="15.75" customHeight="1" x14ac:dyDescent="0.3">
      <c r="A53" s="8" t="s">
        <v>162</v>
      </c>
      <c r="B53" s="8">
        <v>2</v>
      </c>
      <c r="C53" s="9" t="s">
        <v>163</v>
      </c>
      <c r="D53" s="21" t="s">
        <v>157</v>
      </c>
      <c r="E53" s="8">
        <v>2</v>
      </c>
      <c r="F53" s="8">
        <v>13</v>
      </c>
      <c r="G53" s="8">
        <v>13</v>
      </c>
      <c r="H53" s="9" t="s">
        <v>164</v>
      </c>
    </row>
    <row r="54" spans="1:8" ht="15.75" customHeight="1" x14ac:dyDescent="0.3">
      <c r="A54" s="5" t="s">
        <v>165</v>
      </c>
      <c r="B54" s="5">
        <v>2</v>
      </c>
      <c r="C54" s="6" t="s">
        <v>166</v>
      </c>
      <c r="D54" s="21" t="s">
        <v>157</v>
      </c>
      <c r="E54" s="5">
        <v>2</v>
      </c>
      <c r="F54" s="5">
        <v>13</v>
      </c>
      <c r="G54" s="5">
        <v>13</v>
      </c>
      <c r="H54" s="6" t="s">
        <v>167</v>
      </c>
    </row>
    <row r="56" spans="1:8" ht="13.5" customHeight="1" x14ac:dyDescent="0.3">
      <c r="A56" s="84" t="s">
        <v>168</v>
      </c>
      <c r="B56" s="84"/>
      <c r="C56" s="84"/>
      <c r="D56" s="84"/>
      <c r="E56" s="84"/>
      <c r="F56" s="84"/>
      <c r="G56" s="84"/>
      <c r="H56" s="84"/>
    </row>
    <row r="57" spans="1:8" ht="19.5" customHeight="1" x14ac:dyDescent="0.3">
      <c r="A57" s="22" t="s">
        <v>11</v>
      </c>
      <c r="B57" s="23" t="s">
        <v>23</v>
      </c>
      <c r="C57" s="24" t="s">
        <v>39</v>
      </c>
      <c r="D57" s="25" t="s">
        <v>67</v>
      </c>
      <c r="E57" s="26" t="s">
        <v>157</v>
      </c>
    </row>
  </sheetData>
  <mergeCells count="2">
    <mergeCell ref="A1:H1"/>
    <mergeCell ref="A56:H5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29.21875" bestFit="1" customWidth="1"/>
    <col min="2" max="2" width="12.5546875" bestFit="1" customWidth="1"/>
    <col min="3" max="3" width="12.6640625" bestFit="1" customWidth="1"/>
    <col min="4" max="4" width="10" customWidth="1"/>
    <col min="5" max="5" width="9" bestFit="1" customWidth="1"/>
    <col min="6" max="6" width="45" bestFit="1" customWidth="1"/>
  </cols>
  <sheetData>
    <row r="1" spans="1:6" ht="30" customHeight="1" x14ac:dyDescent="0.3">
      <c r="A1" s="83" t="s">
        <v>169</v>
      </c>
      <c r="B1" s="83"/>
      <c r="C1" s="83"/>
      <c r="D1" s="83"/>
      <c r="E1" s="83"/>
      <c r="F1" s="83"/>
    </row>
    <row r="2" spans="1:6" ht="18" customHeight="1" x14ac:dyDescent="0.3">
      <c r="A2" s="27" t="s">
        <v>170</v>
      </c>
      <c r="B2" s="28" t="s">
        <v>171</v>
      </c>
      <c r="C2" s="27" t="s">
        <v>172</v>
      </c>
      <c r="D2" s="28" t="s">
        <v>173</v>
      </c>
      <c r="E2" s="27" t="s">
        <v>174</v>
      </c>
      <c r="F2" s="28" t="s">
        <v>175</v>
      </c>
    </row>
    <row r="4" spans="1:6" ht="21.75" customHeight="1" x14ac:dyDescent="0.3">
      <c r="A4" s="86" t="s">
        <v>176</v>
      </c>
      <c r="B4" s="86"/>
      <c r="C4" s="86"/>
      <c r="D4" s="86"/>
      <c r="E4" s="86"/>
      <c r="F4" s="86"/>
    </row>
    <row r="5" spans="1:6" ht="30" customHeight="1" x14ac:dyDescent="0.3">
      <c r="A5" s="29" t="s">
        <v>177</v>
      </c>
      <c r="B5" s="29" t="s">
        <v>178</v>
      </c>
      <c r="C5" s="29" t="s">
        <v>179</v>
      </c>
      <c r="D5" s="29" t="s">
        <v>180</v>
      </c>
      <c r="E5" s="29" t="s">
        <v>181</v>
      </c>
      <c r="F5" s="29" t="s">
        <v>182</v>
      </c>
    </row>
    <row r="6" spans="1:6" ht="16.5" customHeight="1" x14ac:dyDescent="0.3">
      <c r="A6" s="30" t="s">
        <v>183</v>
      </c>
      <c r="B6" s="31">
        <v>8</v>
      </c>
      <c r="C6" s="31" t="s">
        <v>184</v>
      </c>
      <c r="D6" s="31">
        <v>4</v>
      </c>
      <c r="E6" s="31">
        <f>B6*D6</f>
        <v>32</v>
      </c>
      <c r="F6" s="30" t="s">
        <v>185</v>
      </c>
    </row>
    <row r="7" spans="1:6" ht="16.5" customHeight="1" x14ac:dyDescent="0.3">
      <c r="A7" s="32" t="s">
        <v>186</v>
      </c>
      <c r="B7" s="33">
        <v>7</v>
      </c>
      <c r="C7" s="33" t="s">
        <v>184</v>
      </c>
      <c r="D7" s="33">
        <v>5</v>
      </c>
      <c r="E7" s="33">
        <f>B7*D7</f>
        <v>35</v>
      </c>
      <c r="F7" s="32" t="s">
        <v>187</v>
      </c>
    </row>
    <row r="8" spans="1:6" ht="16.5" customHeight="1" x14ac:dyDescent="0.3">
      <c r="A8" s="30" t="s">
        <v>188</v>
      </c>
      <c r="B8" s="31">
        <v>6</v>
      </c>
      <c r="C8" s="31" t="s">
        <v>184</v>
      </c>
      <c r="D8" s="31">
        <v>4</v>
      </c>
      <c r="E8" s="31">
        <f>B8*D8</f>
        <v>24</v>
      </c>
      <c r="F8" s="30" t="s">
        <v>189</v>
      </c>
    </row>
    <row r="9" spans="1:6" ht="16.5" customHeight="1" x14ac:dyDescent="0.3">
      <c r="A9" s="32" t="s">
        <v>190</v>
      </c>
      <c r="B9" s="33">
        <v>7</v>
      </c>
      <c r="C9" s="33" t="s">
        <v>184</v>
      </c>
      <c r="D9" s="33">
        <v>10</v>
      </c>
      <c r="E9" s="33">
        <f>B9*D9</f>
        <v>70</v>
      </c>
      <c r="F9" s="32" t="s">
        <v>191</v>
      </c>
    </row>
    <row r="10" spans="1:6" ht="16.5" customHeight="1" x14ac:dyDescent="0.3">
      <c r="A10" s="30" t="s">
        <v>192</v>
      </c>
      <c r="B10" s="31">
        <v>5</v>
      </c>
      <c r="C10" s="31" t="s">
        <v>184</v>
      </c>
      <c r="D10" s="31">
        <v>7</v>
      </c>
      <c r="E10" s="31">
        <f>B10*D10</f>
        <v>35</v>
      </c>
      <c r="F10" s="30" t="s">
        <v>193</v>
      </c>
    </row>
    <row r="11" spans="1:6" ht="18" customHeight="1" x14ac:dyDescent="0.3">
      <c r="A11" s="88" t="s">
        <v>194</v>
      </c>
      <c r="B11" s="88"/>
      <c r="C11" s="88"/>
      <c r="D11" s="89">
        <f>SUM(E6:E10)</f>
        <v>196</v>
      </c>
      <c r="E11" s="89"/>
      <c r="F11" s="34" t="s">
        <v>195</v>
      </c>
    </row>
    <row r="12" spans="1:6" ht="15.75" customHeight="1" x14ac:dyDescent="0.3">
      <c r="A12" s="35" t="s">
        <v>196</v>
      </c>
      <c r="B12" s="36">
        <v>0.95</v>
      </c>
      <c r="C12" s="85" t="s">
        <v>197</v>
      </c>
      <c r="D12" s="85"/>
      <c r="E12" s="85"/>
      <c r="F12" s="37"/>
    </row>
    <row r="13" spans="1:6" ht="15.75" customHeight="1" x14ac:dyDescent="0.3">
      <c r="A13" s="35" t="s">
        <v>198</v>
      </c>
      <c r="B13" s="36">
        <f>D11*B12</f>
        <v>186.2</v>
      </c>
      <c r="C13" s="85" t="s">
        <v>199</v>
      </c>
      <c r="D13" s="85"/>
      <c r="E13" s="85"/>
      <c r="F13" s="37"/>
    </row>
    <row r="15" spans="1:6" ht="21.75" customHeight="1" x14ac:dyDescent="0.3">
      <c r="A15" s="86" t="s">
        <v>200</v>
      </c>
      <c r="B15" s="86"/>
      <c r="C15" s="86"/>
      <c r="D15" s="86"/>
      <c r="E15" s="86"/>
      <c r="F15" s="86"/>
    </row>
    <row r="16" spans="1:6" ht="30" customHeight="1" x14ac:dyDescent="0.3">
      <c r="A16" s="29" t="s">
        <v>201</v>
      </c>
      <c r="B16" s="29" t="s">
        <v>202</v>
      </c>
      <c r="C16" s="29" t="s">
        <v>203</v>
      </c>
      <c r="D16" s="29" t="s">
        <v>204</v>
      </c>
      <c r="E16" s="29" t="s">
        <v>205</v>
      </c>
      <c r="F16" s="29" t="s">
        <v>206</v>
      </c>
    </row>
    <row r="17" spans="1:6" ht="16.5" customHeight="1" x14ac:dyDescent="0.3">
      <c r="A17" s="30" t="s">
        <v>207</v>
      </c>
      <c r="B17" s="38">
        <f>B13*53/1000</f>
        <v>9.8685999999999989</v>
      </c>
      <c r="C17" s="31" t="s">
        <v>208</v>
      </c>
      <c r="D17" s="31"/>
      <c r="E17" s="31" t="s">
        <v>209</v>
      </c>
      <c r="F17" s="30" t="s">
        <v>210</v>
      </c>
    </row>
    <row r="18" spans="1:6" ht="16.5" customHeight="1" x14ac:dyDescent="0.3">
      <c r="A18" s="32" t="s">
        <v>211</v>
      </c>
      <c r="B18" s="39">
        <v>3</v>
      </c>
      <c r="C18" s="33" t="s">
        <v>212</v>
      </c>
      <c r="D18" s="33"/>
      <c r="E18" s="33" t="s">
        <v>213</v>
      </c>
      <c r="F18" s="32" t="s">
        <v>214</v>
      </c>
    </row>
    <row r="19" spans="1:6" ht="16.5" customHeight="1" x14ac:dyDescent="0.3">
      <c r="A19" s="30" t="s">
        <v>215</v>
      </c>
      <c r="B19" s="38">
        <v>1.1200000000000001</v>
      </c>
      <c r="C19" s="31" t="s">
        <v>216</v>
      </c>
      <c r="D19" s="31"/>
      <c r="E19" s="31" t="s">
        <v>213</v>
      </c>
      <c r="F19" s="30" t="s">
        <v>214</v>
      </c>
    </row>
    <row r="20" spans="1:6" ht="16.5" customHeight="1" x14ac:dyDescent="0.3">
      <c r="A20" s="32" t="s">
        <v>217</v>
      </c>
      <c r="B20" s="40">
        <f>B18*(B17^B19)</f>
        <v>38.966147174350255</v>
      </c>
      <c r="C20" s="33" t="s">
        <v>218</v>
      </c>
      <c r="D20" s="33"/>
      <c r="E20" s="33" t="s">
        <v>219</v>
      </c>
      <c r="F20" s="32" t="s">
        <v>220</v>
      </c>
    </row>
    <row r="21" spans="1:6" ht="16.5" customHeight="1" x14ac:dyDescent="0.3">
      <c r="A21" s="30" t="s">
        <v>221</v>
      </c>
      <c r="B21" s="41">
        <f>2.5*(B20^0.38)</f>
        <v>10.055443866591588</v>
      </c>
      <c r="C21" s="31" t="s">
        <v>222</v>
      </c>
      <c r="D21" s="31"/>
      <c r="E21" s="31" t="s">
        <v>223</v>
      </c>
      <c r="F21" s="30" t="s">
        <v>224</v>
      </c>
    </row>
    <row r="22" spans="1:6" ht="16.5" customHeight="1" x14ac:dyDescent="0.3">
      <c r="A22" s="32" t="s">
        <v>225</v>
      </c>
      <c r="B22" s="40">
        <f>B20/B21</f>
        <v>3.8751295011264673</v>
      </c>
      <c r="C22" s="33" t="s">
        <v>226</v>
      </c>
      <c r="D22" s="33"/>
      <c r="E22" s="33" t="s">
        <v>227</v>
      </c>
      <c r="F22" s="32" t="s">
        <v>228</v>
      </c>
    </row>
    <row r="23" spans="1:6" ht="16.5" customHeight="1" x14ac:dyDescent="0.3">
      <c r="A23" s="30" t="s">
        <v>229</v>
      </c>
      <c r="B23" s="38">
        <v>0.88</v>
      </c>
      <c r="C23" s="31" t="s">
        <v>230</v>
      </c>
      <c r="D23" s="31"/>
      <c r="E23" s="31" t="s">
        <v>213</v>
      </c>
      <c r="F23" s="30" t="s">
        <v>231</v>
      </c>
    </row>
    <row r="24" spans="1:6" ht="16.5" customHeight="1" x14ac:dyDescent="0.3">
      <c r="A24" s="32" t="s">
        <v>232</v>
      </c>
      <c r="B24" s="40">
        <f>B20*B23</f>
        <v>34.290209513428223</v>
      </c>
      <c r="C24" s="33" t="s">
        <v>233</v>
      </c>
      <c r="D24" s="33"/>
      <c r="E24" s="33" t="s">
        <v>219</v>
      </c>
      <c r="F24" s="32" t="s">
        <v>234</v>
      </c>
    </row>
    <row r="26" spans="1:6" ht="21.75" customHeight="1" x14ac:dyDescent="0.3">
      <c r="A26" s="86" t="s">
        <v>235</v>
      </c>
      <c r="B26" s="86"/>
      <c r="C26" s="86"/>
      <c r="D26" s="86"/>
      <c r="E26" s="86"/>
      <c r="F26" s="86"/>
    </row>
    <row r="27" spans="1:6" ht="30" customHeight="1" x14ac:dyDescent="0.3">
      <c r="A27" s="29" t="s">
        <v>236</v>
      </c>
      <c r="B27" s="29" t="s">
        <v>237</v>
      </c>
      <c r="C27" s="29" t="s">
        <v>238</v>
      </c>
      <c r="D27" s="29" t="s">
        <v>239</v>
      </c>
      <c r="E27" s="29" t="s">
        <v>240</v>
      </c>
      <c r="F27" s="29" t="s">
        <v>241</v>
      </c>
    </row>
    <row r="28" spans="1:6" ht="16.5" customHeight="1" x14ac:dyDescent="0.3">
      <c r="A28" s="30" t="s">
        <v>242</v>
      </c>
      <c r="B28" s="31">
        <v>1</v>
      </c>
      <c r="C28" s="42">
        <v>60000</v>
      </c>
      <c r="D28" s="31">
        <v>3</v>
      </c>
      <c r="E28" s="42">
        <f t="shared" ref="E28:E33" si="0">B28*C28*D28</f>
        <v>180000</v>
      </c>
      <c r="F28" s="30" t="s">
        <v>243</v>
      </c>
    </row>
    <row r="29" spans="1:6" ht="16.5" customHeight="1" x14ac:dyDescent="0.3">
      <c r="A29" s="32" t="s">
        <v>244</v>
      </c>
      <c r="B29" s="33">
        <v>2</v>
      </c>
      <c r="C29" s="43">
        <v>55000</v>
      </c>
      <c r="D29" s="33">
        <v>3</v>
      </c>
      <c r="E29" s="43">
        <f t="shared" si="0"/>
        <v>330000</v>
      </c>
      <c r="F29" s="32" t="s">
        <v>245</v>
      </c>
    </row>
    <row r="30" spans="1:6" ht="16.5" customHeight="1" x14ac:dyDescent="0.3">
      <c r="A30" s="30" t="s">
        <v>246</v>
      </c>
      <c r="B30" s="31">
        <v>1</v>
      </c>
      <c r="C30" s="42">
        <v>50000</v>
      </c>
      <c r="D30" s="31">
        <v>2</v>
      </c>
      <c r="E30" s="42">
        <f t="shared" si="0"/>
        <v>100000</v>
      </c>
      <c r="F30" s="30" t="s">
        <v>247</v>
      </c>
    </row>
    <row r="31" spans="1:6" ht="16.5" customHeight="1" x14ac:dyDescent="0.3">
      <c r="A31" s="32" t="s">
        <v>248</v>
      </c>
      <c r="B31" s="33">
        <v>1</v>
      </c>
      <c r="C31" s="43">
        <v>38000</v>
      </c>
      <c r="D31" s="33">
        <v>2</v>
      </c>
      <c r="E31" s="43">
        <f t="shared" si="0"/>
        <v>76000</v>
      </c>
      <c r="F31" s="32" t="s">
        <v>249</v>
      </c>
    </row>
    <row r="32" spans="1:6" ht="16.5" customHeight="1" x14ac:dyDescent="0.3">
      <c r="A32" s="30" t="s">
        <v>250</v>
      </c>
      <c r="B32" s="31">
        <v>1</v>
      </c>
      <c r="C32" s="42">
        <v>48000</v>
      </c>
      <c r="D32" s="31">
        <v>1</v>
      </c>
      <c r="E32" s="42">
        <f t="shared" si="0"/>
        <v>48000</v>
      </c>
      <c r="F32" s="30" t="s">
        <v>251</v>
      </c>
    </row>
    <row r="33" spans="1:6" ht="16.5" customHeight="1" x14ac:dyDescent="0.3">
      <c r="A33" s="32" t="s">
        <v>252</v>
      </c>
      <c r="B33" s="33">
        <v>1</v>
      </c>
      <c r="C33" s="43">
        <v>35000</v>
      </c>
      <c r="D33" s="33">
        <v>1</v>
      </c>
      <c r="E33" s="43">
        <f t="shared" si="0"/>
        <v>35000</v>
      </c>
      <c r="F33" s="32" t="s">
        <v>253</v>
      </c>
    </row>
    <row r="34" spans="1:6" ht="19.5" customHeight="1" x14ac:dyDescent="0.3">
      <c r="A34" s="87" t="s">
        <v>254</v>
      </c>
      <c r="B34" s="87"/>
      <c r="C34" s="87"/>
      <c r="D34" s="44"/>
      <c r="E34" s="45">
        <f>SUM(E28:E33)</f>
        <v>769000</v>
      </c>
      <c r="F34" s="44"/>
    </row>
    <row r="36" spans="1:6" ht="21.75" customHeight="1" x14ac:dyDescent="0.3">
      <c r="A36" s="86" t="s">
        <v>255</v>
      </c>
      <c r="B36" s="86"/>
      <c r="C36" s="86"/>
      <c r="D36" s="86"/>
      <c r="E36" s="86"/>
      <c r="F36" s="86"/>
    </row>
    <row r="37" spans="1:6" ht="30" customHeight="1" x14ac:dyDescent="0.3">
      <c r="A37" s="29" t="s">
        <v>256</v>
      </c>
      <c r="B37" s="29" t="s">
        <v>257</v>
      </c>
      <c r="C37" s="29" t="s">
        <v>258</v>
      </c>
      <c r="D37" s="29" t="s">
        <v>259</v>
      </c>
      <c r="E37" s="29" t="s">
        <v>260</v>
      </c>
      <c r="F37" s="29" t="s">
        <v>206</v>
      </c>
    </row>
    <row r="38" spans="1:6" ht="16.5" customHeight="1" x14ac:dyDescent="0.3">
      <c r="A38" s="30" t="s">
        <v>261</v>
      </c>
      <c r="B38" s="42">
        <f>E34</f>
        <v>769000</v>
      </c>
      <c r="C38" s="46"/>
      <c r="D38" s="31"/>
      <c r="E38" s="31"/>
      <c r="F38" s="30" t="s">
        <v>262</v>
      </c>
    </row>
    <row r="39" spans="1:6" ht="16.5" customHeight="1" x14ac:dyDescent="0.3">
      <c r="A39" s="32" t="s">
        <v>263</v>
      </c>
      <c r="B39" s="43">
        <v>45000</v>
      </c>
      <c r="C39" s="47">
        <v>15000</v>
      </c>
      <c r="D39" s="33">
        <v>3</v>
      </c>
      <c r="E39" s="33"/>
      <c r="F39" s="32" t="s">
        <v>264</v>
      </c>
    </row>
    <row r="40" spans="1:6" ht="16.5" customHeight="1" x14ac:dyDescent="0.3">
      <c r="A40" s="30" t="s">
        <v>265</v>
      </c>
      <c r="B40" s="42">
        <v>21000</v>
      </c>
      <c r="C40" s="46">
        <v>7000</v>
      </c>
      <c r="D40" s="31">
        <v>3</v>
      </c>
      <c r="E40" s="31"/>
      <c r="F40" s="30" t="s">
        <v>266</v>
      </c>
    </row>
    <row r="41" spans="1:6" ht="16.5" customHeight="1" x14ac:dyDescent="0.3">
      <c r="A41" s="32" t="s">
        <v>267</v>
      </c>
      <c r="B41" s="43">
        <v>12000</v>
      </c>
      <c r="C41" s="47"/>
      <c r="D41" s="33"/>
      <c r="E41" s="33"/>
      <c r="F41" s="32" t="s">
        <v>268</v>
      </c>
    </row>
    <row r="42" spans="1:6" ht="16.5" customHeight="1" x14ac:dyDescent="0.3">
      <c r="A42" s="30" t="s">
        <v>269</v>
      </c>
      <c r="B42" s="42">
        <v>15000</v>
      </c>
      <c r="C42" s="46"/>
      <c r="D42" s="31"/>
      <c r="E42" s="31"/>
      <c r="F42" s="30" t="s">
        <v>270</v>
      </c>
    </row>
    <row r="43" spans="1:6" ht="16.5" customHeight="1" x14ac:dyDescent="0.3">
      <c r="A43" s="32" t="s">
        <v>271</v>
      </c>
      <c r="B43" s="43">
        <v>8000</v>
      </c>
      <c r="C43" s="47"/>
      <c r="D43" s="33"/>
      <c r="E43" s="33"/>
      <c r="F43" s="32" t="s">
        <v>272</v>
      </c>
    </row>
    <row r="44" spans="1:6" ht="16.5" customHeight="1" x14ac:dyDescent="0.3">
      <c r="A44" s="30" t="s">
        <v>273</v>
      </c>
      <c r="B44" s="46">
        <f>SUM(B38:B43)*0.1</f>
        <v>87000</v>
      </c>
      <c r="C44" s="46"/>
      <c r="D44" s="31"/>
      <c r="E44" s="31"/>
      <c r="F44" s="30" t="s">
        <v>274</v>
      </c>
    </row>
    <row r="45" spans="1:6" ht="24" customHeight="1" x14ac:dyDescent="0.3">
      <c r="A45" s="48" t="s">
        <v>275</v>
      </c>
      <c r="B45" s="49">
        <f>SUM(B38:B44)</f>
        <v>957000</v>
      </c>
      <c r="C45" s="50"/>
      <c r="D45" s="50"/>
      <c r="E45" s="50"/>
      <c r="F45" s="50"/>
    </row>
  </sheetData>
  <mergeCells count="10">
    <mergeCell ref="A1:F1"/>
    <mergeCell ref="A4:F4"/>
    <mergeCell ref="A11:C11"/>
    <mergeCell ref="D11:E11"/>
    <mergeCell ref="C12:E12"/>
    <mergeCell ref="C13:E13"/>
    <mergeCell ref="A15:F15"/>
    <mergeCell ref="A26:F26"/>
    <mergeCell ref="A34:C34"/>
    <mergeCell ref="A36:F3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showGridLines="0"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40" sqref="A1:XFD1048576"/>
    </sheetView>
  </sheetViews>
  <sheetFormatPr defaultColWidth="8.6640625" defaultRowHeight="14.4" x14ac:dyDescent="0.3"/>
  <cols>
    <col min="1" max="1" width="7" customWidth="1"/>
    <col min="2" max="2" width="32" customWidth="1"/>
    <col min="3" max="3" width="13" customWidth="1"/>
    <col min="4" max="4" width="18.33203125" customWidth="1"/>
    <col min="5" max="5" width="36.88671875" customWidth="1"/>
    <col min="6" max="6" width="17.21875" customWidth="1"/>
    <col min="7" max="7" width="12.88671875" customWidth="1"/>
    <col min="8" max="8" width="11.6640625" customWidth="1"/>
    <col min="9" max="9" width="15" customWidth="1"/>
    <col min="10" max="10" width="14.21875" customWidth="1"/>
    <col min="11" max="11" width="13.88671875" customWidth="1"/>
    <col min="12" max="12" width="12.5546875" customWidth="1"/>
    <col min="13" max="13" width="15.77734375" customWidth="1"/>
    <col min="14" max="14" width="13.6640625" customWidth="1"/>
    <col min="15" max="15" width="14.5546875" customWidth="1"/>
    <col min="16" max="16" width="17.5546875" customWidth="1"/>
    <col min="17" max="17" width="18.77734375" customWidth="1"/>
    <col min="18" max="18" width="17" customWidth="1"/>
  </cols>
  <sheetData>
    <row r="1" spans="1:18" ht="27.75" customHeight="1" x14ac:dyDescent="0.3">
      <c r="A1" s="83" t="s">
        <v>276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8" ht="15.75" customHeight="1" x14ac:dyDescent="0.3">
      <c r="F2" s="90" t="s">
        <v>277</v>
      </c>
      <c r="G2" s="90"/>
      <c r="H2" s="90"/>
      <c r="I2" s="90"/>
      <c r="J2" s="90" t="s">
        <v>278</v>
      </c>
      <c r="K2" s="90"/>
      <c r="L2" s="90"/>
      <c r="M2" s="90"/>
      <c r="N2" s="90" t="s">
        <v>279</v>
      </c>
      <c r="O2" s="90"/>
      <c r="P2" s="90"/>
      <c r="Q2" s="90"/>
      <c r="R2" s="90"/>
    </row>
    <row r="3" spans="1:18" ht="25.5" customHeight="1" x14ac:dyDescent="0.3">
      <c r="A3" s="51" t="s">
        <v>280</v>
      </c>
      <c r="B3" s="51" t="s">
        <v>281</v>
      </c>
      <c r="C3" s="51" t="s">
        <v>4</v>
      </c>
      <c r="D3" s="51" t="s">
        <v>282</v>
      </c>
      <c r="E3" s="51" t="s">
        <v>5</v>
      </c>
      <c r="F3" s="52" t="s">
        <v>283</v>
      </c>
      <c r="G3" s="52" t="s">
        <v>284</v>
      </c>
      <c r="H3" s="52" t="s">
        <v>285</v>
      </c>
      <c r="I3" s="52" t="s">
        <v>286</v>
      </c>
      <c r="J3" s="52" t="s">
        <v>287</v>
      </c>
      <c r="K3" s="52" t="s">
        <v>288</v>
      </c>
      <c r="L3" s="52" t="s">
        <v>289</v>
      </c>
      <c r="M3" s="52" t="s">
        <v>290</v>
      </c>
      <c r="N3" s="52" t="s">
        <v>291</v>
      </c>
      <c r="O3" s="52" t="s">
        <v>292</v>
      </c>
      <c r="P3" s="52" t="s">
        <v>293</v>
      </c>
      <c r="Q3" s="52" t="s">
        <v>294</v>
      </c>
      <c r="R3" s="52" t="s">
        <v>295</v>
      </c>
    </row>
    <row r="4" spans="1:18" ht="19.5" customHeight="1" x14ac:dyDescent="0.3">
      <c r="A4" s="53" t="s">
        <v>9</v>
      </c>
      <c r="B4" s="54" t="s">
        <v>10</v>
      </c>
      <c r="C4" s="55" t="s">
        <v>11</v>
      </c>
      <c r="D4" s="53" t="s">
        <v>296</v>
      </c>
      <c r="E4" s="53">
        <v>10</v>
      </c>
      <c r="F4" s="56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</row>
    <row r="5" spans="1:18" ht="15.75" customHeight="1" x14ac:dyDescent="0.3">
      <c r="A5" s="58" t="s">
        <v>13</v>
      </c>
      <c r="B5" s="59" t="s">
        <v>297</v>
      </c>
      <c r="C5" s="60" t="s">
        <v>11</v>
      </c>
      <c r="D5" s="58" t="s">
        <v>298</v>
      </c>
      <c r="E5" s="58">
        <v>5</v>
      </c>
      <c r="F5" s="56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</row>
    <row r="6" spans="1:18" ht="15.75" customHeight="1" x14ac:dyDescent="0.3">
      <c r="A6" s="8" t="s">
        <v>16</v>
      </c>
      <c r="B6" s="9" t="s">
        <v>17</v>
      </c>
      <c r="C6" s="60" t="s">
        <v>11</v>
      </c>
      <c r="D6" s="8" t="s">
        <v>219</v>
      </c>
      <c r="E6" s="8">
        <v>3</v>
      </c>
      <c r="F6" s="56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</row>
    <row r="7" spans="1:18" ht="15.75" customHeight="1" x14ac:dyDescent="0.3">
      <c r="A7" s="58" t="s">
        <v>19</v>
      </c>
      <c r="B7" s="59" t="s">
        <v>12</v>
      </c>
      <c r="C7" s="60" t="s">
        <v>11</v>
      </c>
      <c r="D7" s="58" t="s">
        <v>219</v>
      </c>
      <c r="E7" s="58">
        <v>2</v>
      </c>
      <c r="F7" s="56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</row>
    <row r="8" spans="1:18" ht="19.5" customHeight="1" x14ac:dyDescent="0.3">
      <c r="A8" s="53" t="s">
        <v>21</v>
      </c>
      <c r="B8" s="54" t="s">
        <v>22</v>
      </c>
      <c r="C8" s="62" t="s">
        <v>23</v>
      </c>
      <c r="D8" s="53" t="s">
        <v>296</v>
      </c>
      <c r="E8" s="53">
        <v>14</v>
      </c>
      <c r="F8" s="63"/>
      <c r="G8" s="63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</row>
    <row r="9" spans="1:18" ht="15.75" customHeight="1" x14ac:dyDescent="0.3">
      <c r="A9" s="58" t="s">
        <v>25</v>
      </c>
      <c r="B9" s="59" t="s">
        <v>299</v>
      </c>
      <c r="C9" s="64" t="s">
        <v>23</v>
      </c>
      <c r="D9" s="58" t="s">
        <v>298</v>
      </c>
      <c r="E9" s="58">
        <v>5</v>
      </c>
      <c r="F9" s="63"/>
      <c r="G9" s="63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</row>
    <row r="10" spans="1:18" ht="15.75" customHeight="1" x14ac:dyDescent="0.3">
      <c r="A10" s="8" t="s">
        <v>28</v>
      </c>
      <c r="B10" s="9" t="s">
        <v>300</v>
      </c>
      <c r="C10" s="64" t="s">
        <v>23</v>
      </c>
      <c r="D10" s="8" t="s">
        <v>301</v>
      </c>
      <c r="E10" s="8">
        <v>4</v>
      </c>
      <c r="F10" s="57"/>
      <c r="G10" s="63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</row>
    <row r="11" spans="1:18" ht="15.75" customHeight="1" x14ac:dyDescent="0.3">
      <c r="A11" s="58" t="s">
        <v>31</v>
      </c>
      <c r="B11" s="59" t="s">
        <v>302</v>
      </c>
      <c r="C11" s="64" t="s">
        <v>23</v>
      </c>
      <c r="D11" s="58" t="s">
        <v>219</v>
      </c>
      <c r="E11" s="58">
        <v>3</v>
      </c>
      <c r="F11" s="61"/>
      <c r="G11" s="63"/>
      <c r="H11" s="63"/>
      <c r="I11" s="61"/>
      <c r="J11" s="61"/>
      <c r="K11" s="61"/>
      <c r="L11" s="61"/>
      <c r="M11" s="61"/>
      <c r="N11" s="61"/>
      <c r="O11" s="61"/>
      <c r="P11" s="61"/>
      <c r="Q11" s="61"/>
      <c r="R11" s="61"/>
    </row>
    <row r="12" spans="1:18" ht="15.75" customHeight="1" x14ac:dyDescent="0.3">
      <c r="A12" s="8" t="s">
        <v>34</v>
      </c>
      <c r="B12" s="9" t="s">
        <v>35</v>
      </c>
      <c r="C12" s="64" t="s">
        <v>23</v>
      </c>
      <c r="D12" s="8" t="s">
        <v>219</v>
      </c>
      <c r="E12" s="8">
        <v>2</v>
      </c>
      <c r="F12" s="57"/>
      <c r="G12" s="63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</row>
    <row r="13" spans="1:18" ht="19.5" customHeight="1" x14ac:dyDescent="0.3">
      <c r="A13" s="53" t="s">
        <v>37</v>
      </c>
      <c r="B13" s="54" t="s">
        <v>38</v>
      </c>
      <c r="C13" s="65" t="s">
        <v>39</v>
      </c>
      <c r="D13" s="53" t="s">
        <v>303</v>
      </c>
      <c r="E13" s="53">
        <v>28</v>
      </c>
      <c r="F13" s="61"/>
      <c r="G13" s="66"/>
      <c r="H13" s="66"/>
      <c r="I13" s="66"/>
      <c r="J13" s="66"/>
      <c r="K13" s="61"/>
      <c r="L13" s="61"/>
      <c r="M13" s="61"/>
      <c r="N13" s="61"/>
      <c r="O13" s="61"/>
      <c r="P13" s="61"/>
      <c r="Q13" s="61"/>
      <c r="R13" s="61"/>
    </row>
    <row r="14" spans="1:18" ht="15.75" customHeight="1" x14ac:dyDescent="0.3">
      <c r="A14" s="8" t="s">
        <v>41</v>
      </c>
      <c r="B14" s="9" t="s">
        <v>304</v>
      </c>
      <c r="C14" s="67" t="s">
        <v>39</v>
      </c>
      <c r="D14" s="8" t="s">
        <v>305</v>
      </c>
      <c r="E14" s="8">
        <v>7</v>
      </c>
      <c r="F14" s="57"/>
      <c r="G14" s="66"/>
      <c r="H14" s="66"/>
      <c r="I14" s="57"/>
      <c r="J14" s="57"/>
      <c r="K14" s="57"/>
      <c r="L14" s="57"/>
      <c r="M14" s="57"/>
      <c r="N14" s="57"/>
      <c r="O14" s="57"/>
      <c r="P14" s="57"/>
      <c r="Q14" s="57"/>
      <c r="R14" s="57"/>
    </row>
    <row r="15" spans="1:18" ht="15.75" customHeight="1" x14ac:dyDescent="0.3">
      <c r="A15" s="58" t="s">
        <v>53</v>
      </c>
      <c r="B15" s="59" t="s">
        <v>54</v>
      </c>
      <c r="C15" s="67" t="s">
        <v>39</v>
      </c>
      <c r="D15" s="58" t="s">
        <v>306</v>
      </c>
      <c r="E15" s="58">
        <v>7</v>
      </c>
      <c r="F15" s="61"/>
      <c r="G15" s="61"/>
      <c r="H15" s="66"/>
      <c r="I15" s="66"/>
      <c r="J15" s="61"/>
      <c r="K15" s="61"/>
      <c r="L15" s="61"/>
      <c r="M15" s="61"/>
      <c r="N15" s="61"/>
      <c r="O15" s="61"/>
      <c r="P15" s="61"/>
      <c r="Q15" s="61"/>
      <c r="R15" s="61"/>
    </row>
    <row r="16" spans="1:18" ht="15.75" customHeight="1" x14ac:dyDescent="0.3">
      <c r="A16" s="8" t="s">
        <v>62</v>
      </c>
      <c r="B16" s="9" t="s">
        <v>307</v>
      </c>
      <c r="C16" s="67" t="s">
        <v>39</v>
      </c>
      <c r="D16" s="8" t="s">
        <v>308</v>
      </c>
      <c r="E16" s="8">
        <v>5</v>
      </c>
      <c r="F16" s="57"/>
      <c r="G16" s="57"/>
      <c r="H16" s="57"/>
      <c r="I16" s="66"/>
      <c r="J16" s="66"/>
      <c r="K16" s="57"/>
      <c r="L16" s="57"/>
      <c r="M16" s="57"/>
      <c r="N16" s="57"/>
      <c r="O16" s="57"/>
      <c r="P16" s="57"/>
      <c r="Q16" s="57"/>
      <c r="R16" s="57"/>
    </row>
    <row r="17" spans="1:18" ht="15.75" customHeight="1" x14ac:dyDescent="0.3">
      <c r="A17" s="58" t="s">
        <v>65</v>
      </c>
      <c r="B17" s="59" t="s">
        <v>66</v>
      </c>
      <c r="C17" s="68" t="s">
        <v>67</v>
      </c>
      <c r="D17" s="58" t="s">
        <v>309</v>
      </c>
      <c r="E17" s="58">
        <v>4</v>
      </c>
      <c r="F17" s="61"/>
      <c r="G17" s="61"/>
      <c r="H17" s="61"/>
      <c r="I17" s="61"/>
      <c r="J17" s="69"/>
      <c r="K17" s="61"/>
      <c r="L17" s="61"/>
      <c r="M17" s="61"/>
      <c r="N17" s="61"/>
      <c r="O17" s="61"/>
      <c r="P17" s="61"/>
      <c r="Q17" s="61"/>
      <c r="R17" s="61"/>
    </row>
    <row r="18" spans="1:18" ht="19.5" customHeight="1" x14ac:dyDescent="0.3">
      <c r="A18" s="53" t="s">
        <v>69</v>
      </c>
      <c r="B18" s="54" t="s">
        <v>70</v>
      </c>
      <c r="C18" s="65" t="s">
        <v>39</v>
      </c>
      <c r="D18" s="53" t="s">
        <v>303</v>
      </c>
      <c r="E18" s="53">
        <v>30</v>
      </c>
      <c r="F18" s="57"/>
      <c r="G18" s="57"/>
      <c r="H18" s="57"/>
      <c r="I18" s="57"/>
      <c r="J18" s="66"/>
      <c r="K18" s="66"/>
      <c r="L18" s="66"/>
      <c r="M18" s="66"/>
      <c r="N18" s="66"/>
      <c r="O18" s="57"/>
      <c r="P18" s="57"/>
      <c r="Q18" s="57"/>
      <c r="R18" s="57"/>
    </row>
    <row r="19" spans="1:18" ht="15.75" customHeight="1" x14ac:dyDescent="0.3">
      <c r="A19" s="58" t="s">
        <v>72</v>
      </c>
      <c r="B19" s="59" t="s">
        <v>73</v>
      </c>
      <c r="C19" s="67" t="s">
        <v>39</v>
      </c>
      <c r="D19" s="58" t="s">
        <v>310</v>
      </c>
      <c r="E19" s="58">
        <v>10</v>
      </c>
      <c r="F19" s="61"/>
      <c r="G19" s="61"/>
      <c r="H19" s="61"/>
      <c r="I19" s="61"/>
      <c r="J19" s="66"/>
      <c r="K19" s="66"/>
      <c r="L19" s="66"/>
      <c r="M19" s="61"/>
      <c r="N19" s="61"/>
      <c r="O19" s="61"/>
      <c r="P19" s="61"/>
      <c r="Q19" s="61"/>
      <c r="R19" s="61"/>
    </row>
    <row r="20" spans="1:18" ht="15.75" customHeight="1" x14ac:dyDescent="0.3">
      <c r="A20" s="8" t="s">
        <v>84</v>
      </c>
      <c r="B20" s="9" t="s">
        <v>311</v>
      </c>
      <c r="C20" s="67" t="s">
        <v>39</v>
      </c>
      <c r="D20" s="8" t="s">
        <v>305</v>
      </c>
      <c r="E20" s="8">
        <v>8</v>
      </c>
      <c r="F20" s="57"/>
      <c r="G20" s="57"/>
      <c r="H20" s="57"/>
      <c r="I20" s="57"/>
      <c r="J20" s="57"/>
      <c r="K20" s="57"/>
      <c r="L20" s="66"/>
      <c r="M20" s="66"/>
      <c r="N20" s="66"/>
      <c r="O20" s="57"/>
      <c r="P20" s="57"/>
      <c r="Q20" s="57"/>
      <c r="R20" s="57"/>
    </row>
    <row r="21" spans="1:18" ht="15.75" customHeight="1" x14ac:dyDescent="0.3">
      <c r="A21" s="58" t="s">
        <v>96</v>
      </c>
      <c r="B21" s="59" t="s">
        <v>97</v>
      </c>
      <c r="C21" s="67" t="s">
        <v>39</v>
      </c>
      <c r="D21" s="58" t="s">
        <v>306</v>
      </c>
      <c r="E21" s="58">
        <v>7</v>
      </c>
      <c r="F21" s="61"/>
      <c r="G21" s="61"/>
      <c r="H21" s="61"/>
      <c r="I21" s="61"/>
      <c r="J21" s="61"/>
      <c r="K21" s="61"/>
      <c r="L21" s="61"/>
      <c r="M21" s="66"/>
      <c r="N21" s="66"/>
      <c r="O21" s="66"/>
      <c r="P21" s="61"/>
      <c r="Q21" s="61"/>
      <c r="R21" s="61"/>
    </row>
    <row r="22" spans="1:18" ht="15.75" customHeight="1" x14ac:dyDescent="0.3">
      <c r="A22" s="8" t="s">
        <v>105</v>
      </c>
      <c r="B22" s="9" t="s">
        <v>312</v>
      </c>
      <c r="C22" s="67" t="s">
        <v>39</v>
      </c>
      <c r="D22" s="8" t="s">
        <v>313</v>
      </c>
      <c r="E22" s="8">
        <v>8</v>
      </c>
      <c r="F22" s="57"/>
      <c r="G22" s="57"/>
      <c r="H22" s="57"/>
      <c r="I22" s="57"/>
      <c r="J22" s="57"/>
      <c r="K22" s="57"/>
      <c r="L22" s="57"/>
      <c r="M22" s="66"/>
      <c r="N22" s="66"/>
      <c r="O22" s="66"/>
      <c r="P22" s="57"/>
      <c r="Q22" s="57"/>
      <c r="R22" s="57"/>
    </row>
    <row r="23" spans="1:18" ht="15.75" customHeight="1" x14ac:dyDescent="0.3">
      <c r="A23" s="58" t="s">
        <v>108</v>
      </c>
      <c r="B23" s="59" t="s">
        <v>109</v>
      </c>
      <c r="C23" s="68" t="s">
        <v>67</v>
      </c>
      <c r="D23" s="58" t="s">
        <v>309</v>
      </c>
      <c r="E23" s="58">
        <v>5</v>
      </c>
      <c r="F23" s="61"/>
      <c r="G23" s="61"/>
      <c r="H23" s="61"/>
      <c r="I23" s="61"/>
      <c r="J23" s="61"/>
      <c r="K23" s="61"/>
      <c r="L23" s="61"/>
      <c r="M23" s="61"/>
      <c r="N23" s="61"/>
      <c r="O23" s="69"/>
      <c r="P23" s="61"/>
      <c r="Q23" s="61"/>
      <c r="R23" s="61"/>
    </row>
    <row r="24" spans="1:18" ht="19.5" customHeight="1" x14ac:dyDescent="0.3">
      <c r="A24" s="53" t="s">
        <v>111</v>
      </c>
      <c r="B24" s="54" t="s">
        <v>314</v>
      </c>
      <c r="C24" s="65" t="s">
        <v>39</v>
      </c>
      <c r="D24" s="53" t="s">
        <v>303</v>
      </c>
      <c r="E24" s="53">
        <v>28</v>
      </c>
      <c r="F24" s="57"/>
      <c r="G24" s="57"/>
      <c r="H24" s="57"/>
      <c r="I24" s="57"/>
      <c r="J24" s="57"/>
      <c r="K24" s="57"/>
      <c r="L24" s="57"/>
      <c r="M24" s="57"/>
      <c r="N24" s="66"/>
      <c r="O24" s="66"/>
      <c r="P24" s="66"/>
      <c r="Q24" s="66"/>
      <c r="R24" s="57"/>
    </row>
    <row r="25" spans="1:18" ht="15.75" customHeight="1" x14ac:dyDescent="0.3">
      <c r="A25" s="58" t="s">
        <v>114</v>
      </c>
      <c r="B25" s="59" t="s">
        <v>115</v>
      </c>
      <c r="C25" s="67" t="s">
        <v>39</v>
      </c>
      <c r="D25" s="58" t="s">
        <v>315</v>
      </c>
      <c r="E25" s="58">
        <v>8</v>
      </c>
      <c r="F25" s="61"/>
      <c r="G25" s="61"/>
      <c r="H25" s="61"/>
      <c r="I25" s="61"/>
      <c r="J25" s="61"/>
      <c r="K25" s="61"/>
      <c r="L25" s="61"/>
      <c r="M25" s="61"/>
      <c r="N25" s="66"/>
      <c r="O25" s="66"/>
      <c r="P25" s="66"/>
      <c r="Q25" s="61"/>
      <c r="R25" s="61"/>
    </row>
    <row r="26" spans="1:18" ht="15.75" customHeight="1" x14ac:dyDescent="0.3">
      <c r="A26" s="8" t="s">
        <v>123</v>
      </c>
      <c r="B26" s="9" t="s">
        <v>316</v>
      </c>
      <c r="C26" s="67" t="s">
        <v>39</v>
      </c>
      <c r="D26" s="8" t="s">
        <v>317</v>
      </c>
      <c r="E26" s="8">
        <v>8</v>
      </c>
      <c r="F26" s="57"/>
      <c r="G26" s="57"/>
      <c r="H26" s="57"/>
      <c r="I26" s="57"/>
      <c r="J26" s="57"/>
      <c r="K26" s="57"/>
      <c r="L26" s="57"/>
      <c r="M26" s="57"/>
      <c r="N26" s="57"/>
      <c r="O26" s="66"/>
      <c r="P26" s="66"/>
      <c r="Q26" s="66"/>
      <c r="R26" s="57"/>
    </row>
    <row r="27" spans="1:18" ht="15.75" customHeight="1" x14ac:dyDescent="0.3">
      <c r="A27" s="58" t="s">
        <v>135</v>
      </c>
      <c r="B27" s="59" t="s">
        <v>318</v>
      </c>
      <c r="C27" s="67" t="s">
        <v>39</v>
      </c>
      <c r="D27" s="58" t="s">
        <v>306</v>
      </c>
      <c r="E27" s="58">
        <v>7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6"/>
      <c r="Q27" s="66"/>
      <c r="R27" s="66"/>
    </row>
    <row r="28" spans="1:18" ht="15.75" customHeight="1" x14ac:dyDescent="0.3">
      <c r="A28" s="8" t="s">
        <v>140</v>
      </c>
      <c r="B28" s="9" t="s">
        <v>141</v>
      </c>
      <c r="C28" s="68" t="s">
        <v>67</v>
      </c>
      <c r="D28" s="8" t="s">
        <v>309</v>
      </c>
      <c r="E28" s="8">
        <v>5</v>
      </c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69"/>
      <c r="R28" s="69"/>
    </row>
    <row r="29" spans="1:18" ht="19.5" customHeight="1" x14ac:dyDescent="0.3">
      <c r="A29" s="53" t="s">
        <v>143</v>
      </c>
      <c r="B29" s="54" t="s">
        <v>319</v>
      </c>
      <c r="C29" s="70" t="s">
        <v>67</v>
      </c>
      <c r="D29" s="53" t="s">
        <v>320</v>
      </c>
      <c r="E29" s="53">
        <v>9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9"/>
      <c r="R29" s="69"/>
    </row>
    <row r="30" spans="1:18" ht="15.75" customHeight="1" x14ac:dyDescent="0.3">
      <c r="A30" s="8" t="s">
        <v>146</v>
      </c>
      <c r="B30" s="9" t="s">
        <v>321</v>
      </c>
      <c r="C30" s="68" t="s">
        <v>67</v>
      </c>
      <c r="D30" s="8" t="s">
        <v>309</v>
      </c>
      <c r="E30" s="8">
        <v>4</v>
      </c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69"/>
      <c r="R30" s="69"/>
    </row>
    <row r="31" spans="1:18" ht="15.75" customHeight="1" x14ac:dyDescent="0.3">
      <c r="A31" s="58" t="s">
        <v>149</v>
      </c>
      <c r="B31" s="59" t="s">
        <v>322</v>
      </c>
      <c r="C31" s="68" t="s">
        <v>67</v>
      </c>
      <c r="D31" s="58" t="s">
        <v>323</v>
      </c>
      <c r="E31" s="58">
        <v>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9"/>
    </row>
    <row r="32" spans="1:18" ht="19.5" customHeight="1" x14ac:dyDescent="0.3">
      <c r="A32" s="53" t="s">
        <v>155</v>
      </c>
      <c r="B32" s="54" t="s">
        <v>156</v>
      </c>
      <c r="C32" s="71" t="s">
        <v>157</v>
      </c>
      <c r="D32" s="53" t="s">
        <v>324</v>
      </c>
      <c r="E32" s="53">
        <v>8</v>
      </c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72"/>
      <c r="R32" s="72"/>
    </row>
    <row r="33" spans="1:18" ht="15.75" customHeight="1" x14ac:dyDescent="0.3">
      <c r="A33" s="58" t="s">
        <v>159</v>
      </c>
      <c r="B33" s="59" t="s">
        <v>325</v>
      </c>
      <c r="C33" s="73" t="s">
        <v>157</v>
      </c>
      <c r="D33" s="58" t="s">
        <v>324</v>
      </c>
      <c r="E33" s="58">
        <v>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72"/>
      <c r="R33" s="72"/>
    </row>
    <row r="34" spans="1:18" ht="15.75" customHeight="1" x14ac:dyDescent="0.3">
      <c r="A34" s="8" t="s">
        <v>162</v>
      </c>
      <c r="B34" s="9" t="s">
        <v>326</v>
      </c>
      <c r="C34" s="73" t="s">
        <v>157</v>
      </c>
      <c r="D34" s="8" t="s">
        <v>327</v>
      </c>
      <c r="E34" s="8">
        <v>4</v>
      </c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72"/>
    </row>
    <row r="36" spans="1:18" ht="13.5" customHeight="1" x14ac:dyDescent="0.3">
      <c r="A36" s="84" t="s">
        <v>168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</row>
    <row r="37" spans="1:18" ht="19.5" customHeight="1" x14ac:dyDescent="0.3">
      <c r="A37" s="22" t="s">
        <v>11</v>
      </c>
      <c r="B37" s="23" t="s">
        <v>23</v>
      </c>
      <c r="C37" s="24" t="s">
        <v>39</v>
      </c>
      <c r="D37" s="25" t="s">
        <v>67</v>
      </c>
      <c r="E37" s="26" t="s">
        <v>157</v>
      </c>
    </row>
  </sheetData>
  <mergeCells count="5">
    <mergeCell ref="A1:R1"/>
    <mergeCell ref="F2:I2"/>
    <mergeCell ref="J2:M2"/>
    <mergeCell ref="N2:R2"/>
    <mergeCell ref="A36:R3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GridLines="0" zoomScaleNormal="100" workbookViewId="0">
      <selection activeCell="H10" sqref="H10"/>
    </sheetView>
  </sheetViews>
  <sheetFormatPr defaultColWidth="8.6640625" defaultRowHeight="14.4" x14ac:dyDescent="0.3"/>
  <cols>
    <col min="1" max="1" width="24" customWidth="1"/>
    <col min="2" max="2" width="10" customWidth="1"/>
    <col min="3" max="4" width="14" customWidth="1"/>
    <col min="5" max="5" width="7.5546875" customWidth="1"/>
    <col min="6" max="6" width="22.6640625" bestFit="1" customWidth="1"/>
  </cols>
  <sheetData>
    <row r="1" spans="1:6" ht="27.75" customHeight="1" x14ac:dyDescent="0.3">
      <c r="A1" s="83" t="s">
        <v>328</v>
      </c>
      <c r="B1" s="83"/>
      <c r="C1" s="83"/>
      <c r="D1" s="83"/>
      <c r="E1" s="83"/>
      <c r="F1" s="83"/>
    </row>
    <row r="2" spans="1:6" ht="25.5" customHeight="1" x14ac:dyDescent="0.3">
      <c r="A2" s="29" t="s">
        <v>4</v>
      </c>
      <c r="B2" s="29" t="s">
        <v>329</v>
      </c>
      <c r="C2" s="29" t="s">
        <v>330</v>
      </c>
      <c r="D2" s="29" t="s">
        <v>331</v>
      </c>
      <c r="E2" s="29" t="s">
        <v>332</v>
      </c>
      <c r="F2" s="29" t="s">
        <v>333</v>
      </c>
    </row>
    <row r="3" spans="1:6" ht="19.5" customHeight="1" x14ac:dyDescent="0.3">
      <c r="A3" s="74" t="s">
        <v>11</v>
      </c>
      <c r="B3" s="31">
        <v>4</v>
      </c>
      <c r="C3" s="75">
        <v>1</v>
      </c>
      <c r="D3" s="31">
        <v>1</v>
      </c>
      <c r="E3" s="31">
        <v>4</v>
      </c>
      <c r="F3" s="30" t="s">
        <v>334</v>
      </c>
    </row>
    <row r="4" spans="1:6" ht="19.5" customHeight="1" x14ac:dyDescent="0.3">
      <c r="A4" s="76" t="s">
        <v>23</v>
      </c>
      <c r="B4" s="33">
        <v>5</v>
      </c>
      <c r="C4" s="77">
        <v>1.5</v>
      </c>
      <c r="D4" s="33">
        <v>2</v>
      </c>
      <c r="E4" s="33">
        <v>4</v>
      </c>
      <c r="F4" s="32" t="s">
        <v>335</v>
      </c>
    </row>
    <row r="5" spans="1:6" ht="19.5" customHeight="1" x14ac:dyDescent="0.3">
      <c r="A5" s="78" t="s">
        <v>336</v>
      </c>
      <c r="B5" s="31">
        <v>4</v>
      </c>
      <c r="C5" s="75">
        <v>4.5</v>
      </c>
      <c r="D5" s="31">
        <v>3</v>
      </c>
      <c r="E5" s="31">
        <v>5</v>
      </c>
      <c r="F5" s="30" t="s">
        <v>337</v>
      </c>
    </row>
    <row r="6" spans="1:6" ht="19.5" customHeight="1" x14ac:dyDescent="0.3">
      <c r="A6" s="78" t="s">
        <v>338</v>
      </c>
      <c r="B6" s="33">
        <v>5</v>
      </c>
      <c r="C6" s="77">
        <v>6.5</v>
      </c>
      <c r="D6" s="33">
        <v>4</v>
      </c>
      <c r="E6" s="33">
        <v>5</v>
      </c>
      <c r="F6" s="32" t="s">
        <v>339</v>
      </c>
    </row>
    <row r="7" spans="1:6" ht="19.5" customHeight="1" x14ac:dyDescent="0.3">
      <c r="A7" s="78" t="s">
        <v>340</v>
      </c>
      <c r="B7" s="31">
        <v>5</v>
      </c>
      <c r="C7" s="75">
        <v>6.5</v>
      </c>
      <c r="D7" s="31">
        <v>3</v>
      </c>
      <c r="E7" s="31">
        <v>4</v>
      </c>
      <c r="F7" s="30" t="s">
        <v>341</v>
      </c>
    </row>
    <row r="8" spans="1:6" ht="19.5" customHeight="1" x14ac:dyDescent="0.3">
      <c r="A8" s="79" t="s">
        <v>67</v>
      </c>
      <c r="B8" s="33">
        <v>4</v>
      </c>
      <c r="C8" s="77">
        <v>3.5</v>
      </c>
      <c r="D8" s="33">
        <v>2</v>
      </c>
      <c r="E8" s="33">
        <v>3</v>
      </c>
      <c r="F8" s="32" t="s">
        <v>342</v>
      </c>
    </row>
    <row r="9" spans="1:6" ht="19.5" customHeight="1" x14ac:dyDescent="0.3">
      <c r="A9" s="80" t="s">
        <v>157</v>
      </c>
      <c r="B9" s="31">
        <v>4</v>
      </c>
      <c r="C9" s="75">
        <v>1.5</v>
      </c>
      <c r="D9" s="31">
        <v>1</v>
      </c>
      <c r="E9" s="31">
        <v>3</v>
      </c>
      <c r="F9" s="30" t="s">
        <v>343</v>
      </c>
    </row>
    <row r="10" spans="1:6" ht="21.75" customHeight="1" x14ac:dyDescent="0.3">
      <c r="A10" s="81" t="s">
        <v>344</v>
      </c>
      <c r="B10" s="82">
        <f>SUM(B3:B9)</f>
        <v>31</v>
      </c>
      <c r="C10" s="82">
        <f>SUM(C3:C9)</f>
        <v>25</v>
      </c>
      <c r="D10" s="82">
        <f>SUM(D3:D9)</f>
        <v>16</v>
      </c>
      <c r="E10" s="82">
        <f>SUM(E3:E9)</f>
        <v>28</v>
      </c>
      <c r="F10" s="82" t="s">
        <v>345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</vt:lpstr>
      <vt:lpstr>Cost Estimation</vt:lpstr>
      <vt:lpstr>Gantt Chart</vt:lpstr>
      <vt:lpstr>Effort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lilapoonawallafoundation@hotmail.com</cp:lastModifiedBy>
  <cp:revision>1</cp:revision>
  <dcterms:created xsi:type="dcterms:W3CDTF">2026-03-28T17:37:00Z</dcterms:created>
  <dcterms:modified xsi:type="dcterms:W3CDTF">2026-04-01T05:36:56Z</dcterms:modified>
  <dc:language>en-US</dc:language>
</cp:coreProperties>
</file>